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ex &amp; Instructions" sheetId="1" state="visible" r:id="rId1"/>
    <sheet xmlns:r="http://schemas.openxmlformats.org/officeDocument/2006/relationships" name="AI Qualification Checklist" sheetId="2" state="visible" r:id="rId2"/>
    <sheet xmlns:r="http://schemas.openxmlformats.org/officeDocument/2006/relationships" name="AI Governance Checklist" sheetId="3" state="visible" r:id="rId3"/>
    <sheet xmlns:r="http://schemas.openxmlformats.org/officeDocument/2006/relationships" name="Model Change Management" sheetId="4" state="visible" r:id="rId4"/>
    <sheet xmlns:r="http://schemas.openxmlformats.org/officeDocument/2006/relationships" name="Portfolio Capacity Register" sheetId="5" state="visible" r:id="rId5"/>
    <sheet xmlns:r="http://schemas.openxmlformats.org/officeDocument/2006/relationships" name="Review Board Decision Log" sheetId="6" state="visible" r:id="rId6"/>
    <sheet xmlns:r="http://schemas.openxmlformats.org/officeDocument/2006/relationships" name="AI System Register" sheetId="7" state="visible" r:id="rId7"/>
    <sheet xmlns:r="http://schemas.openxmlformats.org/officeDocument/2006/relationships" name="AI Incident Registry" sheetId="8" state="visible" r:id="rId8"/>
    <sheet xmlns:r="http://schemas.openxmlformats.org/officeDocument/2006/relationships" name="Regulatory Mapping" sheetId="9" state="visible" r:id="rId9"/>
    <sheet xmlns:r="http://schemas.openxmlformats.org/officeDocument/2006/relationships" name="RACI Operating Model" sheetId="10" state="visible" r:id="rId10"/>
  </sheets>
  <definedNames>
    <definedName name="_xlnm._FilterDatabase" localSheetId="1" hidden="1">'AI Qualification Checklist'!$A$3:$I$15</definedName>
    <definedName name="_xlnm._FilterDatabase" localSheetId="2" hidden="1">'AI Governance Checklist'!$A$3:$J$43</definedName>
    <definedName name="_xlnm._FilterDatabase" localSheetId="4" hidden="1">'Portfolio Capacity Register'!$A$4:$N$10</definedName>
    <definedName name="_xlnm._FilterDatabase" localSheetId="5" hidden="1">'Review Board Decision Log'!$A$3:$M$13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4A4A4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color rgb="FF1A3A5C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A4A4A"/>
      <sz val="9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9A6B0A"/>
      <sz val="10"/>
    </font>
    <font>
      <name val="Arial"/>
      <charset val="1"/>
      <family val="0"/>
      <b val="1"/>
      <color rgb="FF1E7A45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4A3BAA"/>
      <sz val="10"/>
    </font>
    <font>
      <name val="Arial"/>
      <color rgb="001A2332"/>
      <sz val="9"/>
    </font>
    <font>
      <name val="Arial"/>
      <b val="1"/>
      <color rgb="002E7DD1"/>
      <sz val="9"/>
    </font>
    <font>
      <name val="Arial"/>
      <b val="1"/>
      <color rgb="00C0392B"/>
      <sz val="9"/>
    </font>
    <font>
      <name val="Arial"/>
      <b val="1"/>
      <color rgb="00FFFFFF"/>
      <sz val="9"/>
    </font>
    <font>
      <name val="Arial"/>
      <b val="1"/>
      <color rgb="009A6B0A"/>
      <sz val="9"/>
    </font>
    <font>
      <name val="Arial"/>
      <b val="1"/>
      <color rgb="00FFFFFF"/>
      <sz val="12"/>
    </font>
    <font>
      <name val="Arial"/>
      <i val="1"/>
      <color rgb="005A6A7E"/>
      <sz val="9"/>
    </font>
    <font>
      <name val="Arial"/>
      <b val="1"/>
      <color rgb="00E07820"/>
      <sz val="9"/>
    </font>
    <font>
      <name val="Arial"/>
      <b val="1"/>
      <color rgb="001E7A45"/>
      <sz val="9"/>
    </font>
    <font>
      <name val="Arial"/>
      <b val="1"/>
      <color rgb="001A3A5C"/>
      <sz val="9"/>
    </font>
    <font>
      <name val="Arial"/>
      <b val="1"/>
      <color rgb="004A3BAA"/>
      <sz val="9"/>
    </font>
    <font>
      <name val="Arial"/>
      <b val="1"/>
      <color rgb="001A2332"/>
      <sz val="9"/>
    </font>
    <font>
      <name val="Arial"/>
      <b val="1"/>
      <color rgb="000F2340"/>
      <sz val="9"/>
    </font>
    <font>
      <name val="Arial"/>
      <b val="1"/>
      <color rgb="00FFFFFF"/>
      <sz val="10"/>
    </font>
    <font>
      <name val="Arial"/>
      <b val="1"/>
      <color rgb="001A3A5C"/>
      <sz val="10"/>
    </font>
    <font>
      <name val="Arial"/>
      <b val="1"/>
      <color rgb="008A9AAA"/>
      <sz val="10"/>
    </font>
    <font>
      <name val="Arial"/>
      <i val="1"/>
      <color rgb="005A6A7E"/>
      <sz val="8"/>
    </font>
  </fonts>
  <fills count="22">
    <fill>
      <patternFill/>
    </fill>
    <fill>
      <patternFill patternType="gray125"/>
    </fill>
    <fill>
      <patternFill patternType="solid">
        <fgColor rgb="FF1A3A5C"/>
        <bgColor rgb="FF4A4A4A"/>
      </patternFill>
    </fill>
    <fill>
      <patternFill patternType="solid">
        <fgColor rgb="FFEBF3FB"/>
        <bgColor rgb="FFF0F7FF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5F5F5"/>
      </patternFill>
    </fill>
    <fill>
      <patternFill patternType="solid">
        <fgColor rgb="FFF0F7FF"/>
        <bgColor rgb="FFEBF3FB"/>
      </patternFill>
    </fill>
    <fill>
      <patternFill patternType="solid">
        <fgColor rgb="FFFDECEA"/>
        <bgColor rgb="FFFEF5E7"/>
      </patternFill>
    </fill>
    <fill>
      <patternFill patternType="solid">
        <fgColor rgb="FFFEF5E7"/>
        <bgColor rgb="FFF5F5F5"/>
      </patternFill>
    </fill>
    <fill>
      <patternFill patternType="solid">
        <fgColor rgb="FFEAF6EE"/>
        <bgColor rgb="FFEBF3FB"/>
      </patternFill>
    </fill>
    <fill>
      <patternFill patternType="solid">
        <fgColor rgb="FFEDE9FD"/>
        <bgColor rgb="FFEBF3FB"/>
      </patternFill>
    </fill>
    <fill>
      <patternFill patternType="solid">
        <fgColor rgb="FFD6E4F0"/>
        <bgColor rgb="FFEDE9FD"/>
      </patternFill>
    </fill>
    <fill>
      <patternFill patternType="solid">
        <fgColor rgb="FFF5F5F5"/>
        <bgColor rgb="FFF0F7FF"/>
      </patternFill>
    </fill>
    <fill>
      <patternFill patternType="solid">
        <fgColor rgb="00FDECEA"/>
      </patternFill>
    </fill>
    <fill>
      <patternFill patternType="solid">
        <fgColor rgb="001A3A5C"/>
      </patternFill>
    </fill>
    <fill>
      <patternFill patternType="solid">
        <fgColor rgb="00FEF5E7"/>
      </patternFill>
    </fill>
    <fill>
      <patternFill patternType="solid">
        <fgColor rgb="000F2340"/>
      </patternFill>
    </fill>
    <fill>
      <patternFill patternType="solid">
        <fgColor rgb="00F0F4F9"/>
      </patternFill>
    </fill>
    <fill>
      <patternFill patternType="solid">
        <fgColor rgb="00FFF0E0"/>
      </patternFill>
    </fill>
    <fill>
      <patternFill patternType="solid">
        <fgColor rgb="00EAF6EE"/>
      </patternFill>
    </fill>
    <fill>
      <patternFill patternType="solid">
        <fgColor rgb="00FFFFFF"/>
      </patternFill>
    </fill>
    <fill>
      <patternFill patternType="solid">
        <fgColor rgb="00EDE9FD"/>
      </patternFill>
    </fill>
  </fills>
  <borders count="6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/>
      <top style="thin">
        <color rgb="FFBDD7EE"/>
      </top>
      <bottom style="thin">
        <color rgb="FFBDD7EE"/>
      </bottom>
      <diagonal/>
    </border>
    <border>
      <left style="thin">
        <color rgb="00DDE4ED"/>
      </left>
      <right style="thin">
        <color rgb="00DDE4ED"/>
      </right>
      <top style="thin">
        <color rgb="00DDE4ED"/>
      </top>
      <bottom style="thin">
        <color rgb="00DDE4E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general" vertical="center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top" wrapText="1"/>
    </xf>
    <xf numFmtId="0" fontId="14" fillId="8" borderId="1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general" vertical="center"/>
    </xf>
    <xf numFmtId="0" fontId="15" fillId="9" borderId="1" applyAlignment="1" pivotButton="0" quotePrefix="0" xfId="0">
      <alignment horizontal="center" vertical="top" wrapText="1"/>
    </xf>
    <xf numFmtId="0" fontId="16" fillId="7" borderId="1" applyAlignment="1" pivotButton="0" quotePrefix="0" xfId="0">
      <alignment horizontal="center" vertical="top" wrapText="1"/>
    </xf>
    <xf numFmtId="0" fontId="17" fillId="7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center" vertical="top" wrapText="1"/>
    </xf>
    <xf numFmtId="0" fontId="16" fillId="8" borderId="1" applyAlignment="1" pivotButton="0" quotePrefix="0" xfId="0">
      <alignment horizontal="center" vertical="top" wrapText="1"/>
    </xf>
    <xf numFmtId="0" fontId="17" fillId="8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center" vertical="top" wrapText="1"/>
    </xf>
    <xf numFmtId="0" fontId="16" fillId="10" borderId="1" applyAlignment="1" pivotButton="0" quotePrefix="0" xfId="0">
      <alignment horizontal="center" vertical="top" wrapText="1"/>
    </xf>
    <xf numFmtId="0" fontId="17" fillId="10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17" fillId="9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center" vertical="top" wrapText="1"/>
    </xf>
    <xf numFmtId="0" fontId="7" fillId="4" borderId="0" applyAlignment="1" pivotButton="0" quotePrefix="0" xfId="0">
      <alignment horizontal="general" vertical="center"/>
    </xf>
    <xf numFmtId="0" fontId="9" fillId="11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top" wrapText="1"/>
    </xf>
    <xf numFmtId="0" fontId="17" fillId="5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center" vertical="top" wrapText="1"/>
    </xf>
    <xf numFmtId="0" fontId="16" fillId="6" borderId="1" applyAlignment="1" pivotButton="0" quotePrefix="0" xfId="0">
      <alignment horizontal="center" vertical="top" wrapText="1"/>
    </xf>
    <xf numFmtId="0" fontId="17" fillId="6" borderId="1" applyAlignment="1" pivotButton="0" quotePrefix="0" xfId="0">
      <alignment horizontal="left" vertical="top" wrapText="1"/>
    </xf>
    <xf numFmtId="0" fontId="17" fillId="6" borderId="1" applyAlignment="1" pivotButton="0" quotePrefix="0" xfId="0">
      <alignment horizontal="center" vertical="top" wrapText="1"/>
    </xf>
    <xf numFmtId="0" fontId="12" fillId="12" borderId="0" applyAlignment="1" pivotButton="0" quotePrefix="0" xfId="0">
      <alignment horizontal="general" vertical="center"/>
    </xf>
    <xf numFmtId="0" fontId="10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general" vertical="center"/>
    </xf>
    <xf numFmtId="0" fontId="10" fillId="11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general" vertical="center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left" vertical="top" wrapText="1"/>
    </xf>
    <xf numFmtId="0" fontId="0" fillId="0" borderId="4" pivotButton="0" quotePrefix="0" xfId="0"/>
    <xf numFmtId="0" fontId="9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top" wrapText="1"/>
    </xf>
    <xf numFmtId="0" fontId="20" fillId="0" borderId="5" applyAlignment="1" pivotButton="0" quotePrefix="0" xfId="0">
      <alignment horizontal="left" vertical="center" wrapText="1"/>
    </xf>
    <xf numFmtId="0" fontId="19" fillId="0" borderId="5" applyAlignment="1" pivotButton="0" quotePrefix="0" xfId="0">
      <alignment horizontal="left" vertical="center" wrapText="1"/>
    </xf>
    <xf numFmtId="0" fontId="21" fillId="13" borderId="5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general" vertical="center"/>
    </xf>
    <xf numFmtId="0" fontId="15" fillId="9" borderId="1" applyAlignment="1" pivotButton="0" quotePrefix="0" xfId="0">
      <alignment horizontal="center" vertical="top" wrapText="1"/>
    </xf>
    <xf numFmtId="0" fontId="22" fillId="14" borderId="0" applyAlignment="1" pivotButton="0" quotePrefix="0" xfId="0">
      <alignment horizontal="left" vertical="center" wrapText="1"/>
    </xf>
    <xf numFmtId="0" fontId="23" fillId="15" borderId="5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top" wrapText="1"/>
    </xf>
    <xf numFmtId="0" fontId="17" fillId="7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center" vertical="top" wrapText="1"/>
    </xf>
    <xf numFmtId="0" fontId="16" fillId="8" borderId="1" applyAlignment="1" pivotButton="0" quotePrefix="0" xfId="0">
      <alignment horizontal="center" vertical="top" wrapText="1"/>
    </xf>
    <xf numFmtId="0" fontId="17" fillId="8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center" vertical="top" wrapText="1"/>
    </xf>
    <xf numFmtId="0" fontId="16" fillId="10" borderId="1" applyAlignment="1" pivotButton="0" quotePrefix="0" xfId="0">
      <alignment horizontal="center" vertical="top" wrapText="1"/>
    </xf>
    <xf numFmtId="0" fontId="17" fillId="10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17" fillId="9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center" vertical="top" wrapText="1"/>
    </xf>
    <xf numFmtId="0" fontId="7" fillId="4" borderId="0" applyAlignment="1" pivotButton="0" quotePrefix="0" xfId="0">
      <alignment horizontal="general" vertical="center"/>
    </xf>
    <xf numFmtId="0" fontId="9" fillId="11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top" wrapText="1"/>
    </xf>
    <xf numFmtId="0" fontId="17" fillId="5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center" vertical="top" wrapText="1"/>
    </xf>
    <xf numFmtId="0" fontId="16" fillId="6" borderId="1" applyAlignment="1" pivotButton="0" quotePrefix="0" xfId="0">
      <alignment horizontal="center" vertical="top" wrapText="1"/>
    </xf>
    <xf numFmtId="0" fontId="17" fillId="6" borderId="1" applyAlignment="1" pivotButton="0" quotePrefix="0" xfId="0">
      <alignment horizontal="left" vertical="top" wrapText="1"/>
    </xf>
    <xf numFmtId="0" fontId="17" fillId="6" borderId="1" applyAlignment="1" pivotButton="0" quotePrefix="0" xfId="0">
      <alignment horizontal="center" vertical="top" wrapText="1"/>
    </xf>
    <xf numFmtId="0" fontId="12" fillId="12" borderId="0" applyAlignment="1" pivotButton="0" quotePrefix="0" xfId="0">
      <alignment horizontal="general" vertical="center"/>
    </xf>
    <xf numFmtId="0" fontId="10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general" vertical="center"/>
    </xf>
    <xf numFmtId="0" fontId="10" fillId="11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24" fillId="16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22" fillId="14" borderId="5" applyAlignment="1" pivotButton="0" quotePrefix="0" xfId="0">
      <alignment horizontal="center" vertical="center" wrapText="1"/>
    </xf>
    <xf numFmtId="0" fontId="19" fillId="17" borderId="5" applyAlignment="1" pivotButton="0" quotePrefix="0" xfId="0">
      <alignment horizontal="left" vertical="center" wrapText="1"/>
    </xf>
    <xf numFmtId="0" fontId="26" fillId="18" borderId="5" applyAlignment="1" pivotButton="0" quotePrefix="0" xfId="0">
      <alignment horizontal="left" vertical="center" wrapText="1"/>
    </xf>
    <xf numFmtId="0" fontId="27" fillId="19" borderId="5" applyAlignment="1" pivotButton="0" quotePrefix="0" xfId="0">
      <alignment horizontal="left" vertical="center" wrapText="1"/>
    </xf>
    <xf numFmtId="0" fontId="19" fillId="20" borderId="5" applyAlignment="1" pivotButton="0" quotePrefix="0" xfId="0">
      <alignment horizontal="left" vertical="center" wrapText="1"/>
    </xf>
    <xf numFmtId="0" fontId="28" fillId="17" borderId="5" applyAlignment="1" pivotButton="0" quotePrefix="0" xfId="0">
      <alignment horizontal="left" vertical="center" wrapText="1"/>
    </xf>
    <xf numFmtId="0" fontId="29" fillId="21" borderId="5" applyAlignment="1" pivotButton="0" quotePrefix="0" xfId="0">
      <alignment horizontal="left" vertical="center" wrapText="1"/>
    </xf>
    <xf numFmtId="0" fontId="22" fillId="14" borderId="5" applyAlignment="1" pivotButton="0" quotePrefix="0" xfId="0">
      <alignment horizontal="left" vertical="center" wrapText="1"/>
    </xf>
    <xf numFmtId="0" fontId="20" fillId="20" borderId="5" applyAlignment="1" pivotButton="0" quotePrefix="0" xfId="0">
      <alignment horizontal="left" vertical="center" wrapText="1"/>
    </xf>
    <xf numFmtId="0" fontId="20" fillId="17" borderId="5" applyAlignment="1" pivotButton="0" quotePrefix="0" xfId="0">
      <alignment horizontal="left" vertical="center" wrapText="1"/>
    </xf>
    <xf numFmtId="0" fontId="31" fillId="17" borderId="5" applyAlignment="1" pivotButton="0" quotePrefix="0" xfId="0">
      <alignment horizontal="left" vertical="center" wrapText="1"/>
    </xf>
    <xf numFmtId="0" fontId="32" fillId="16" borderId="5" applyAlignment="1" pivotButton="0" quotePrefix="0" xfId="0">
      <alignment horizontal="center" vertical="center" wrapText="1"/>
    </xf>
    <xf numFmtId="0" fontId="33" fillId="17" borderId="5" applyAlignment="1" pivotButton="0" quotePrefix="0" xfId="0">
      <alignment horizontal="center" vertical="center" wrapText="1"/>
    </xf>
    <xf numFmtId="0" fontId="34" fillId="20" borderId="5" applyAlignment="1" pivotButton="0" quotePrefix="0" xfId="0">
      <alignment horizontal="center" vertical="center" wrapText="1"/>
    </xf>
    <xf numFmtId="0" fontId="32" fillId="14" borderId="5" applyAlignment="1" pivotButton="0" quotePrefix="0" xfId="0">
      <alignment horizontal="center" vertical="center" wrapText="1"/>
    </xf>
    <xf numFmtId="0" fontId="35" fillId="17" borderId="5" applyAlignment="1" pivotButton="0" quotePrefix="0" xfId="0">
      <alignment horizontal="left" vertical="center" wrapText="1"/>
    </xf>
    <xf numFmtId="0" fontId="31" fillId="20" borderId="5" applyAlignment="1" pivotButton="0" quotePrefix="0" xfId="0">
      <alignment horizontal="left" vertical="center" wrapText="1"/>
    </xf>
    <xf numFmtId="0" fontId="35" fillId="2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A3A5C"/>
          <bgColor rgb="FF000000"/>
        </patternFill>
      </fill>
    </dxf>
    <dxf>
      <fill>
        <patternFill patternType="solid">
          <fgColor rgb="FF2E6DA4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0F7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EF5E7"/>
          <bgColor rgb="FF000000"/>
        </patternFill>
      </fill>
    </dxf>
    <dxf>
      <fill>
        <patternFill patternType="solid">
          <fgColor rgb="FF9A6B0A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AF6EE"/>
          <bgColor rgb="FF000000"/>
        </patternFill>
      </fill>
    </dxf>
    <dxf>
      <fill>
        <patternFill patternType="solid">
          <fgColor rgb="FF1E7A45"/>
          <bgColor rgb="FF000000"/>
        </patternFill>
      </fill>
    </dxf>
    <dxf>
      <fill>
        <patternFill patternType="solid">
          <fgColor rgb="FFEDE9FD"/>
          <bgColor rgb="FF000000"/>
        </patternFill>
      </fill>
    </dxf>
    <dxf>
      <fill>
        <patternFill patternType="solid">
          <fgColor rgb="FF4A3BA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A"/>
      <rgbColor rgb="FF800080"/>
      <rgbColor rgb="FF1E7A45"/>
      <rgbColor rgb="FFF5F5F5"/>
      <rgbColor rgb="FF808080"/>
      <rgbColor rgb="FF9999FF"/>
      <rgbColor rgb="FF993366"/>
      <rgbColor rgb="FFFEF5E7"/>
      <rgbColor rgb="FFEAF6EE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6E4F0"/>
      <rgbColor rgb="FFFDECEA"/>
      <rgbColor rgb="FFF0F7FF"/>
      <rgbColor rgb="FFFF99CC"/>
      <rgbColor rgb="FFCC99FF"/>
      <rgbColor rgb="FFEDE9F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1A1A1A"/>
      <rgbColor rgb="FFC0392B"/>
      <rgbColor rgb="FF993366"/>
      <rgbColor rgb="FF4A3BAA"/>
      <rgbColor rgb="FF4A4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56" min="1" max="1"/>
    <col width="30" customWidth="1" style="56" min="2" max="2"/>
    <col width="48" customWidth="1" style="56" min="3" max="3"/>
    <col width="18" customWidth="1" style="56" min="4" max="5"/>
    <col width="28" customWidth="1" style="56" min="6" max="6"/>
  </cols>
  <sheetData>
    <row r="1" ht="39.75" customHeight="1" s="57">
      <c r="A1" s="58" t="inlineStr">
        <is>
          <t>Architecting Intelligence — AI Governance &amp; Qualification Framework</t>
        </is>
      </c>
    </row>
    <row r="2" ht="21.75" customHeight="1" s="57">
      <c r="A2" s="59" t="inlineStr">
        <is>
          <t>Enterprise-grade governance toolkit for AI use case qualification, pre-deployment governance, model change management, and portfolio capacity planning.</t>
        </is>
      </c>
    </row>
    <row r="4" ht="21.75" customHeight="1" s="57">
      <c r="A4" s="60" t="inlineStr">
        <is>
          <t xml:space="preserve">  WORKBOOK CONTENTS</t>
        </is>
      </c>
    </row>
    <row r="5" ht="27.75" customHeight="1" s="57">
      <c r="A5" s="61" t="inlineStr">
        <is>
          <t>#</t>
        </is>
      </c>
      <c r="B5" s="61" t="inlineStr">
        <is>
          <t>Sheet Name</t>
        </is>
      </c>
      <c r="C5" s="61" t="inlineStr">
        <is>
          <t>Purpose</t>
        </is>
      </c>
      <c r="D5" s="61" t="inlineStr">
        <is>
          <t>When to Use</t>
        </is>
      </c>
      <c r="E5" s="61" t="inlineStr">
        <is>
          <t>Owner</t>
        </is>
      </c>
      <c r="F5" s="61" t="inlineStr">
        <is>
          <t>Review Frequency</t>
        </is>
      </c>
    </row>
    <row r="6" ht="45.75" customHeight="1" s="57">
      <c r="A6" s="62" t="inlineStr">
        <is>
          <t>1</t>
        </is>
      </c>
      <c r="B6" s="63" t="inlineStr">
        <is>
          <t>AI Qualification Checklist</t>
        </is>
      </c>
      <c r="C6" s="64" t="inlineStr">
        <is>
          <t>8-question gate to determine if AI is the right tool. Forces formula/RPA evaluation before AI is approved.</t>
        </is>
      </c>
      <c r="D6" s="62" t="inlineStr">
        <is>
          <t>Before any AI implementation is proposed to the Review Board</t>
        </is>
      </c>
      <c r="E6" s="62" t="inlineStr">
        <is>
          <t>Enterprise Architect</t>
        </is>
      </c>
      <c r="F6" s="62" t="inlineStr">
        <is>
          <t>Per project request</t>
        </is>
      </c>
    </row>
    <row r="7" ht="45.75" customHeight="1" s="57">
      <c r="A7" s="65" t="inlineStr">
        <is>
          <t>2</t>
        </is>
      </c>
      <c r="B7" s="66" t="inlineStr">
        <is>
          <t>AI Governance Checklist</t>
        </is>
      </c>
      <c r="C7" s="67" t="inlineStr">
        <is>
          <t>32 pre-deployment governance controls across 7 categories. Blocker/Required/Recommended classification.</t>
        </is>
      </c>
      <c r="D7" s="65" t="inlineStr">
        <is>
          <t>After qualification approved. Before architecture build commences.</t>
        </is>
      </c>
      <c r="E7" s="65" t="inlineStr">
        <is>
          <t>AI CoE Lead + Risk Owner</t>
        </is>
      </c>
      <c r="F7" s="65" t="inlineStr">
        <is>
          <t>Per deployment</t>
        </is>
      </c>
    </row>
    <row r="8" ht="45.75" customHeight="1" s="57">
      <c r="A8" s="62" t="inlineStr">
        <is>
          <t>3</t>
        </is>
      </c>
      <c r="B8" s="63" t="inlineStr">
        <is>
          <t>Model Change Management</t>
        </is>
      </c>
      <c r="C8" s="64" t="inlineStr">
        <is>
          <t>Change classification (Class 1–4), test scope, tier definitions, and timeline gates for every model version change.</t>
        </is>
      </c>
      <c r="D8" s="62" t="inlineStr">
        <is>
          <t>Every time a model version change is proposed or notified by vendor.</t>
        </is>
      </c>
      <c r="E8" s="62" t="inlineStr">
        <is>
          <t>Risk Owner + QA Lead</t>
        </is>
      </c>
      <c r="F8" s="62" t="inlineStr">
        <is>
          <t>Per model change</t>
        </is>
      </c>
    </row>
    <row r="9" ht="45.75" customHeight="1" s="57">
      <c r="A9" s="65" t="inlineStr">
        <is>
          <t>4</t>
        </is>
      </c>
      <c r="B9" s="66" t="inlineStr">
        <is>
          <t>Portfolio Capacity Register</t>
        </is>
      </c>
      <c r="C9" s="67" t="inlineStr">
        <is>
          <t>Live register of all AI deployments with bandwidth scoring. Tracks utilisation vs red line (70%).</t>
        </is>
      </c>
      <c r="D9" s="65" t="inlineStr">
        <is>
          <t>Reviewed weekly by AI CoE. Checked before any new deployment is approved.</t>
        </is>
      </c>
      <c r="E9" s="65" t="inlineStr">
        <is>
          <t>AI CoE Lead</t>
        </is>
      </c>
      <c r="F9" s="65" t="inlineStr">
        <is>
          <t>Weekly</t>
        </is>
      </c>
    </row>
    <row r="10" ht="45.75" customHeight="1" s="57">
      <c r="A10" s="62" t="inlineStr">
        <is>
          <t>5</t>
        </is>
      </c>
      <c r="B10" s="63" t="inlineStr">
        <is>
          <t>Review Board Decision Log</t>
        </is>
      </c>
      <c r="C10" s="64" t="inlineStr">
        <is>
          <t>Permanent audit trail of all AI implementation requests and board decisions.</t>
        </is>
      </c>
      <c r="D10" s="62" t="inlineStr">
        <is>
          <t>Updated after every Review Board session. 7-year retention minimum.</t>
        </is>
      </c>
      <c r="E10" s="62" t="inlineStr">
        <is>
          <t>Board Chair / AI CoE</t>
        </is>
      </c>
      <c r="F10" s="62" t="inlineStr">
        <is>
          <t>Per board decision</t>
        </is>
      </c>
    </row>
    <row r="12" ht="21.75" customHeight="1" s="57">
      <c r="A12" s="60" t="inlineStr">
        <is>
          <t xml:space="preserve">  CORE GOVERNANCE PRINCIPLES</t>
        </is>
      </c>
    </row>
    <row r="13" ht="39.75" customHeight="1" s="57">
      <c r="A13" s="68" t="inlineStr">
        <is>
          <t>P1</t>
        </is>
      </c>
      <c r="B13" s="69" t="inlineStr">
        <is>
          <t>Implement AI when required — not because it is easy.</t>
        </is>
      </c>
      <c r="C13" s="70" t="inlineStr">
        <is>
          <t>The default answer to any AI implementation request is no. The project team proves AI is necessary — not the governance team proving it isn't.</t>
        </is>
      </c>
      <c r="D13" s="71" t="n"/>
      <c r="E13" s="71" t="n"/>
      <c r="F13" s="71" t="n"/>
    </row>
    <row r="14" ht="39.75" customHeight="1" s="57">
      <c r="A14" s="72" t="inlineStr">
        <is>
          <t>P2</t>
        </is>
      </c>
      <c r="B14" s="73" t="inlineStr">
        <is>
          <t>Formula first. RPA second. AI third.</t>
        </is>
      </c>
      <c r="C14" s="74" t="inlineStr">
        <is>
          <t>If a deterministic formula or rule set solves the problem for 95%+ of cases, AI is not required. Governance overhead of AI must be justified by genuine capability need.</t>
        </is>
      </c>
      <c r="D14" s="71" t="n"/>
      <c r="E14" s="71" t="n"/>
      <c r="F14" s="71" t="n"/>
    </row>
    <row r="15" ht="39.75" customHeight="1" s="57">
      <c r="A15" s="68" t="inlineStr">
        <is>
          <t>P3</t>
        </is>
      </c>
      <c r="B15" s="69" t="inlineStr">
        <is>
          <t>Every test case is permanent.</t>
        </is>
      </c>
      <c r="C15" s="70" t="inlineStr">
        <is>
          <t>The test library is append-only. Edge cases and low-frequency scenarios are never removed. A passing test case is proof the control works — not a candidate for deletion.</t>
        </is>
      </c>
      <c r="D15" s="71" t="n"/>
      <c r="E15" s="71" t="n"/>
      <c r="F15" s="71" t="n"/>
    </row>
    <row r="16" ht="39.75" customHeight="1" s="57">
      <c r="A16" s="72" t="inlineStr">
        <is>
          <t>P4</t>
        </is>
      </c>
      <c r="B16" s="73" t="inlineStr">
        <is>
          <t>Go-live governance is not production governance.</t>
        </is>
      </c>
      <c r="C16" s="74" t="inlineStr">
        <is>
          <t>An agent that passed UAT is an agent that passed UAT. Production governance requires continuous monitoring, model change management, and quarterly review — indefinitely.</t>
        </is>
      </c>
      <c r="D16" s="71" t="n"/>
      <c r="E16" s="71" t="n"/>
      <c r="F16" s="71" t="n"/>
    </row>
    <row r="17" ht="39.75" customHeight="1" s="57">
      <c r="A17" s="68" t="inlineStr">
        <is>
          <t>P5</t>
        </is>
      </c>
      <c r="B17" s="69" t="inlineStr">
        <is>
          <t>The vendor's 'minor' is your governance risk.</t>
        </is>
      </c>
      <c r="C17" s="70" t="inlineStr">
        <is>
          <t>Any model version change regardless of vendor classification triggers full re-validation. You cannot verify what changed internally. Your test library is the only ground truth you control.</t>
        </is>
      </c>
      <c r="D17" s="71" t="n"/>
      <c r="E17" s="71" t="n"/>
      <c r="F17" s="71" t="n"/>
    </row>
    <row r="18" ht="39.75" customHeight="1" s="57">
      <c r="A18" s="72" t="inlineStr">
        <is>
          <t>P6</t>
        </is>
      </c>
      <c r="B18" s="73" t="inlineStr">
        <is>
          <t>Bandwidth is a shared constraint, not a project resource.</t>
        </is>
      </c>
      <c r="C18" s="74" t="inlineStr">
        <is>
          <t>Governance team capacity for model changes, monitoring, and incident response is finite and managed at portfolio level. No project owns governance capacity — the portfolio does.</t>
        </is>
      </c>
      <c r="D18" s="71" t="n"/>
      <c r="E18" s="71" t="n"/>
      <c r="F18" s="71" t="n"/>
    </row>
  </sheetData>
  <mergeCells count="10">
    <mergeCell ref="C13:F13"/>
    <mergeCell ref="A2:F2"/>
    <mergeCell ref="C18:F18"/>
    <mergeCell ref="C17:F17"/>
    <mergeCell ref="A1:F1"/>
    <mergeCell ref="C16:F16"/>
    <mergeCell ref="C15:F15"/>
    <mergeCell ref="A12:F12"/>
    <mergeCell ref="A4:F4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6" min="1" max="1"/>
    <col width="38" customWidth="1" style="56" min="2" max="2"/>
    <col width="18" customWidth="1" style="56" min="3" max="3"/>
    <col width="14" customWidth="1" style="56" min="4" max="4"/>
    <col width="22" customWidth="1" style="56" min="5" max="6"/>
    <col width="28" customWidth="1" style="56" min="7" max="7"/>
    <col width="18" customWidth="1" style="56" min="8" max="8"/>
    <col width="28" customWidth="1" style="56" min="9" max="9"/>
  </cols>
  <sheetData>
    <row r="1" ht="31.5" customHeight="1" s="57">
      <c r="A1" s="75" t="inlineStr">
        <is>
          <t>AI Use Case Qualification Checklist — Enterprise Review Board</t>
        </is>
      </c>
    </row>
    <row r="2" ht="18" customHeight="1" s="57">
      <c r="A2" s="76" t="inlineStr">
        <is>
          <t>Complete this checklist before any AI implementation is approved. Default board position: NOT APPROVED. Project team must prove AI is required.</t>
        </is>
      </c>
    </row>
    <row r="3" ht="30" customHeight="1" s="57">
      <c r="A3" s="61" t="inlineStr">
        <is>
          <t>#</t>
        </is>
      </c>
      <c r="B3" s="61" t="inlineStr">
        <is>
          <t>Gate Question</t>
        </is>
      </c>
      <c r="C3" s="61" t="inlineStr">
        <is>
          <t>Category</t>
        </is>
      </c>
      <c r="D3" s="61" t="inlineStr">
        <is>
          <t>Answer
(Yes/No/N/A)</t>
        </is>
      </c>
      <c r="E3" s="61" t="inlineStr">
        <is>
          <t>If YES</t>
        </is>
      </c>
      <c r="F3" s="61" t="inlineStr">
        <is>
          <t>If NO</t>
        </is>
      </c>
      <c r="G3" s="61" t="inlineStr">
        <is>
          <t>Evidence Required</t>
        </is>
      </c>
      <c r="H3" s="61" t="inlineStr">
        <is>
          <t>Finding
(Blocker/Required/Rec)</t>
        </is>
      </c>
      <c r="I3" s="61" t="inlineStr">
        <is>
          <t>Reviewer Notes</t>
        </is>
      </c>
    </row>
    <row r="4" ht="51.75" customHeight="1" s="57">
      <c r="A4" s="68" t="inlineStr">
        <is>
          <t>Q1</t>
        </is>
      </c>
      <c r="B4" s="64" t="inlineStr">
        <is>
          <t>Can the output be produced by a deterministic formula or rule set for the majority of cases?</t>
        </is>
      </c>
      <c r="C4" s="64" t="inlineStr">
        <is>
          <t>Use Case Fit</t>
        </is>
      </c>
      <c r="D4" s="62" t="n"/>
      <c r="E4" s="64" t="inlineStr">
        <is>
          <t>Implement formula/rule engine. Do NOT scope AI. Handle exceptions with human review.</t>
        </is>
      </c>
      <c r="F4" s="64" t="inlineStr">
        <is>
          <t>Proceed to Q2.</t>
        </is>
      </c>
      <c r="G4" s="64" t="inlineStr">
        <is>
          <t>Formula evaluation document signed by SME</t>
        </is>
      </c>
      <c r="H4" s="77" t="inlineStr">
        <is>
          <t>Blocker</t>
        </is>
      </c>
      <c r="I4" s="64" t="n"/>
    </row>
    <row r="5" ht="51.75" customHeight="1" s="57">
      <c r="A5" s="72" t="inlineStr">
        <is>
          <t>Q2</t>
        </is>
      </c>
      <c r="B5" s="67" t="inlineStr">
        <is>
          <t>Is the input data structured and the process steps fully mappable end-to-end?</t>
        </is>
      </c>
      <c r="C5" s="67" t="inlineStr">
        <is>
          <t>Use Case Fit</t>
        </is>
      </c>
      <c r="D5" s="65" t="n"/>
      <c r="E5" s="67" t="inlineStr">
        <is>
          <t>Implement RPA or workflow automation. AI adds governance cost with no capability advantage.</t>
        </is>
      </c>
      <c r="F5" s="67" t="inlineStr">
        <is>
          <t>Proceed to Q3.</t>
        </is>
      </c>
      <c r="G5" s="67" t="inlineStr">
        <is>
          <t>Process map / data structure assessment</t>
        </is>
      </c>
      <c r="H5" s="77" t="inlineStr">
        <is>
          <t>Blocker</t>
        </is>
      </c>
      <c r="I5" s="67" t="n"/>
    </row>
    <row r="6" ht="51.75" customHeight="1" s="57">
      <c r="A6" s="68" t="inlineStr">
        <is>
          <t>Q3</t>
        </is>
      </c>
      <c r="B6" s="64" t="inlineStr">
        <is>
          <t>Does the problem genuinely require cognitive interpretation — unstructured data, variable context, multi-factor judgement?</t>
        </is>
      </c>
      <c r="C6" s="64" t="inlineStr">
        <is>
          <t>Use Case Fit</t>
        </is>
      </c>
      <c r="D6" s="62" t="n"/>
      <c r="E6" s="64" t="inlineStr">
        <is>
          <t>AI may be appropriate. Continue qualification.</t>
        </is>
      </c>
      <c r="F6" s="64" t="inlineStr">
        <is>
          <t>Return to Q1 or Q2. Problem has been miscategorised.</t>
        </is>
      </c>
      <c r="G6" s="64" t="inlineStr">
        <is>
          <t>Use case description with examples of ambiguous inputs</t>
        </is>
      </c>
      <c r="H6" s="77" t="inlineStr">
        <is>
          <t>Blocker</t>
        </is>
      </c>
      <c r="I6" s="64" t="n"/>
    </row>
    <row r="7" ht="51.75" customHeight="1" s="57">
      <c r="A7" s="72" t="inlineStr">
        <is>
          <t>Q4</t>
        </is>
      </c>
      <c r="B7" s="67" t="inlineStr">
        <is>
          <t>Has a non-AI alternative been formally evaluated and documented as insufficient?</t>
        </is>
      </c>
      <c r="C7" s="67" t="inlineStr">
        <is>
          <t>Alternatives</t>
        </is>
      </c>
      <c r="D7" s="65" t="n"/>
      <c r="E7" s="67" t="inlineStr">
        <is>
          <t>Document why alternative was rejected. This is the audit trail.</t>
        </is>
      </c>
      <c r="F7" s="67" t="inlineStr">
        <is>
          <t>Return to Q1. Evaluation not completed. AI not approved on convenience.</t>
        </is>
      </c>
      <c r="G7" s="67" t="inlineStr">
        <is>
          <t>Alternatives evaluation report with sign-off</t>
        </is>
      </c>
      <c r="H7" s="77" t="inlineStr">
        <is>
          <t>Blocker</t>
        </is>
      </c>
      <c r="I7" s="67" t="n"/>
    </row>
    <row r="8" ht="51.75" customHeight="1" s="57">
      <c r="A8" s="68" t="inlineStr">
        <is>
          <t>Q5</t>
        </is>
      </c>
      <c r="B8" s="64" t="inlineStr">
        <is>
          <t>Is the organisation's current AI governance maturity sufficient to manage this deployment safely?</t>
        </is>
      </c>
      <c r="C8" s="64" t="inlineStr">
        <is>
          <t>Governance Readiness</t>
        </is>
      </c>
      <c r="D8" s="62" t="n"/>
      <c r="E8" s="64" t="inlineStr">
        <is>
          <t>Document evidence. Governance team confirms bandwidth available.</t>
        </is>
      </c>
      <c r="F8" s="64" t="inlineStr">
        <is>
          <t>Queue. Do not deploy until maturity gap is closed.</t>
        </is>
      </c>
      <c r="G8" s="64" t="inlineStr">
        <is>
          <t>Governance maturity assessment, bandwidth score</t>
        </is>
      </c>
      <c r="H8" s="77" t="inlineStr">
        <is>
          <t>Blocker</t>
        </is>
      </c>
      <c r="I8" s="64" t="n"/>
    </row>
    <row r="9" ht="51.75" customHeight="1" s="57">
      <c r="A9" s="72" t="inlineStr">
        <is>
          <t>Q6</t>
        </is>
      </c>
      <c r="B9" s="67" t="inlineStr">
        <is>
          <t>Is this a high-risk domain (regulated decisions, financial transactions, patient impact, legal exposure)?</t>
        </is>
      </c>
      <c r="C9" s="67" t="inlineStr">
        <is>
          <t>Risk Classification</t>
        </is>
      </c>
      <c r="D9" s="65" t="n"/>
      <c r="E9" s="67" t="inlineStr">
        <is>
          <t>AI maturity requirement doubles. Require demonstrated production performance from comparable deployment.</t>
        </is>
      </c>
      <c r="F9" s="67" t="inlineStr">
        <is>
          <t>Standard qualification continues.</t>
        </is>
      </c>
      <c r="G9" s="67" t="inlineStr">
        <is>
          <t>Risk classification signed by risk function (not project team)</t>
        </is>
      </c>
      <c r="H9" s="77" t="inlineStr">
        <is>
          <t>Blocker</t>
        </is>
      </c>
      <c r="I9" s="67" t="n"/>
    </row>
    <row r="10" ht="51.75" customHeight="1" s="57">
      <c r="A10" s="68" t="inlineStr">
        <is>
          <t>Q7</t>
        </is>
      </c>
      <c r="B10" s="64" t="inlineStr">
        <is>
          <t>Can the AI decision be explained to a regulator, auditor, or affected individual in plain language?</t>
        </is>
      </c>
      <c r="C10" s="64" t="inlineStr">
        <is>
          <t>Explainability</t>
        </is>
      </c>
      <c r="D10" s="62" t="n"/>
      <c r="E10" s="64" t="inlineStr">
        <is>
          <t>Document the explainability mechanism. Must exist at deployment — not promised for later.</t>
        </is>
      </c>
      <c r="F10" s="64" t="inlineStr">
        <is>
          <t>Blocked. Non-explainable AI in regulated context is non-compliant before go-live.</t>
        </is>
      </c>
      <c r="G10" s="64" t="inlineStr">
        <is>
          <t>Explainability design document</t>
        </is>
      </c>
      <c r="H10" s="77" t="inlineStr">
        <is>
          <t>Blocker</t>
        </is>
      </c>
      <c r="I10" s="64" t="n"/>
    </row>
    <row r="11" ht="51.75" customHeight="1" s="57">
      <c r="A11" s="72" t="inlineStr">
        <is>
          <t>Q8</t>
        </is>
      </c>
      <c r="B11" s="67" t="inlineStr">
        <is>
          <t>Does portfolio bandwidth capacity exist to govern, monitor, and respond to model changes?</t>
        </is>
      </c>
      <c r="C11" s="67" t="inlineStr">
        <is>
          <t>Portfolio Capacity</t>
        </is>
      </c>
      <c r="D11" s="65" t="n"/>
      <c r="E11" s="67" t="inlineStr">
        <is>
          <t>Governance team confirms in writing. Bandwidth score added to register.</t>
        </is>
      </c>
      <c r="F11" s="67" t="inlineStr">
        <is>
          <t>Queue. Portfolio at capacity. Not a negotiation.</t>
        </is>
      </c>
      <c r="G11" s="67" t="inlineStr">
        <is>
          <t>Portfolio bandwidth score, governance team allocation confirmation</t>
        </is>
      </c>
      <c r="H11" s="77" t="inlineStr">
        <is>
          <t>Blocker</t>
        </is>
      </c>
      <c r="I11" s="67" t="n"/>
    </row>
    <row r="12" ht="51.75" customHeight="1" s="57">
      <c r="A12" s="78" t="inlineStr">
        <is>
          <t>Q9-ARCH</t>
        </is>
      </c>
      <c r="B12" s="79" t="inlineStr">
        <is>
          <t>Does the system design rely on multi-agent execution, dynamic planning loops, or external tool invocation via protocols like MCP?</t>
        </is>
      </c>
      <c r="C12" s="79" t="inlineStr">
        <is>
          <t>Architecture Security</t>
        </is>
      </c>
      <c r="D12" s="79" t="n"/>
      <c r="E12" s="79" t="inlineStr">
        <is>
          <t>Classify as Pattern D (Agentic). Require G-06 Tool Poisoning and G-07 MCP Auth before engineering sign-off.</t>
        </is>
      </c>
      <c r="F12" s="79" t="inlineStr">
        <is>
          <t>Proceed to classify under Patterns A, B, or C.</t>
        </is>
      </c>
      <c r="G12" s="79" t="inlineStr">
        <is>
          <t>Architecture design document with agent boundary map</t>
        </is>
      </c>
      <c r="H12" s="80" t="inlineStr">
        <is>
          <t>Blocker</t>
        </is>
      </c>
      <c r="I12" s="79" t="n"/>
    </row>
    <row r="13" ht="51.75" customHeight="1" s="57">
      <c r="A13" s="68" t="inlineStr">
        <is>
          <t>Q9</t>
        </is>
      </c>
      <c r="B13" s="64" t="inlineStr">
        <is>
          <t>Is the agent's scope limited to genuinely cognitive tasks only (no formula-calculable sub-tasks included)?</t>
        </is>
      </c>
      <c r="C13" s="64" t="inlineStr">
        <is>
          <t>Scope Control</t>
        </is>
      </c>
      <c r="D13" s="62" t="n"/>
      <c r="E13" s="64" t="inlineStr">
        <is>
          <t>Document scope boundaries. Rule-based pre-filters defined.</t>
        </is>
      </c>
      <c r="F13" s="64" t="inlineStr">
        <is>
          <t>Reduce agent scope. Remove deterministic sub-tasks from AI scope.</t>
        </is>
      </c>
      <c r="G13" s="64" t="inlineStr">
        <is>
          <t>Agent scope definition document with pre-filter specification</t>
        </is>
      </c>
      <c r="H13" s="81" t="inlineStr">
        <is>
          <t>Required</t>
        </is>
      </c>
      <c r="I13" s="64" t="n"/>
    </row>
    <row r="14" ht="51.75" customHeight="1" s="57">
      <c r="A14" s="72" t="inlineStr">
        <is>
          <t>Q10</t>
        </is>
      </c>
      <c r="B14" s="67" t="inlineStr">
        <is>
          <t>Has the vendor's historical model release cadence been documented as a project input?</t>
        </is>
      </c>
      <c r="C14" s="67" t="inlineStr">
        <is>
          <t>Vendor Risk</t>
        </is>
      </c>
      <c r="D14" s="65" t="n"/>
      <c r="E14" s="67" t="inlineStr">
        <is>
          <t>Release cadence factored into governance cost and bandwidth scoring.</t>
        </is>
      </c>
      <c r="F14" s="67" t="inlineStr">
        <is>
          <t>Vendor assessment incomplete. Do not proceed to architecture approval.</t>
        </is>
      </c>
      <c r="G14" s="67" t="inlineStr">
        <is>
          <t>Vendor release history, upgrade notification SLA in contract</t>
        </is>
      </c>
      <c r="H14" s="81" t="inlineStr">
        <is>
          <t>Required</t>
        </is>
      </c>
      <c r="I14" s="67" t="n"/>
    </row>
    <row r="15" ht="51.75" customHeight="1" s="57">
      <c r="A15" s="68" t="inlineStr">
        <is>
          <t>Q11</t>
        </is>
      </c>
      <c r="B15" s="64" t="inlineStr">
        <is>
          <t>Is the foundation model version pinnable and independently rollback-capable within 30 minutes?</t>
        </is>
      </c>
      <c r="C15" s="64" t="inlineStr">
        <is>
          <t>Model Sovereignty</t>
        </is>
      </c>
      <c r="D15" s="62" t="n"/>
      <c r="E15" s="64" t="inlineStr">
        <is>
          <t>Version pinning confirmed at API gateway level. Rollback tested.</t>
        </is>
      </c>
      <c r="F15" s="64" t="inlineStr">
        <is>
          <t>Blocked. Model sovereignty is non-negotiable for production deployment.</t>
        </is>
      </c>
      <c r="G15" s="64" t="inlineStr">
        <is>
          <t>Version pin configuration, rollback test record</t>
        </is>
      </c>
      <c r="H15" s="77" t="inlineStr">
        <is>
          <t>Blocker</t>
        </is>
      </c>
      <c r="I15" s="64" t="n"/>
    </row>
    <row r="16" ht="19.5" customHeight="1" s="57">
      <c r="A16" s="72" t="inlineStr">
        <is>
          <t>Q12</t>
        </is>
      </c>
      <c r="B16" s="67" t="inlineStr">
        <is>
          <t>Has the full governance cost been included in the business case (test library, monitoring, change cycles)?</t>
        </is>
      </c>
      <c r="C16" s="67" t="inlineStr">
        <is>
          <t>Business Case</t>
        </is>
      </c>
      <c r="D16" s="65" t="n"/>
      <c r="E16" s="67" t="inlineStr">
        <is>
          <t>Business case approved with full TCO including governance overhead.</t>
        </is>
      </c>
      <c r="F16" s="67" t="inlineStr">
        <is>
          <t>Business case incomplete. Return to project sponsor.</t>
        </is>
      </c>
      <c r="G16" s="67" t="inlineStr">
        <is>
          <t>Business case document with governance cost line items</t>
        </is>
      </c>
      <c r="H16" s="81" t="inlineStr">
        <is>
          <t>Required</t>
        </is>
      </c>
      <c r="I16" s="67" t="n"/>
    </row>
    <row r="17">
      <c r="A17" s="82" t="inlineStr">
        <is>
          <t>OVERALL QUALIFICATION RESULT</t>
        </is>
      </c>
      <c r="H17" s="83">
        <f>IF(COUNTIF(D4:D15,"No")&gt;0,"NOT APPROVED — Review blockers",IF(COUNTIF(D4:D15,"Pending")&gt;0,"PENDING — Complete all questions","APPROVED — Proceed to governance checklist"))</f>
        <v/>
      </c>
      <c r="I17" s="71" t="n"/>
    </row>
  </sheetData>
  <autoFilter ref="A3:I15"/>
  <mergeCells count="4">
    <mergeCell ref="A1:I1"/>
    <mergeCell ref="A16:G16"/>
    <mergeCell ref="H16:I16"/>
    <mergeCell ref="A2:I2"/>
  </mergeCells>
  <dataValidations count="2">
    <dataValidation sqref="D4:D15" showDropDown="0" showInputMessage="0" showErrorMessage="0" allowBlank="1" type="list" errorStyle="stop" operator="between">
      <formula1>"Yes,No,N/A,Pending"</formula1>
      <formula2>0</formula2>
    </dataValidation>
    <dataValidation sqref="H4:H15" showDropDown="0" showInputMessage="0" showErrorMessage="0" allowBlank="1" type="list" errorStyle="stop" operator="between">
      <formula1>"Blocker,Required,Recommended,Not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6" min="1" max="1"/>
    <col width="38" customWidth="1" style="56" min="2" max="2"/>
    <col width="18" customWidth="1" style="56" min="3" max="3"/>
    <col width="14" customWidth="1" style="56" min="4" max="5"/>
    <col width="28" customWidth="1" style="56" min="6" max="7"/>
    <col width="16" customWidth="1" style="56" min="8" max="8"/>
    <col width="12" customWidth="1" style="56" min="9" max="9"/>
    <col width="24" customWidth="1" style="56" min="10" max="10"/>
  </cols>
  <sheetData>
    <row r="1" ht="31.5" customHeight="1" s="57">
      <c r="A1" s="75" t="inlineStr">
        <is>
          <t>AI Governance Checklist — Pre-Deployment &amp; Production Controls</t>
        </is>
      </c>
    </row>
    <row r="2" ht="18" customHeight="1" s="57">
      <c r="A2" s="76" t="inlineStr">
        <is>
          <t>All Blocker findings must be resolved before deployment. Required findings must be remediated within 30 days. Recommended findings logged in AI System Register.</t>
        </is>
      </c>
    </row>
    <row r="3" ht="30" customHeight="1" s="57">
      <c r="A3" s="61" t="inlineStr">
        <is>
          <t>#</t>
        </is>
      </c>
      <c r="B3" s="61" t="inlineStr">
        <is>
          <t>Control</t>
        </is>
      </c>
      <c r="C3" s="61" t="inlineStr">
        <is>
          <t>Category</t>
        </is>
      </c>
      <c r="D3" s="61" t="inlineStr">
        <is>
          <t>Classification</t>
        </is>
      </c>
      <c r="E3" s="61" t="inlineStr">
        <is>
          <t>Status
(Pass/Fail/Pending)</t>
        </is>
      </c>
      <c r="F3" s="61" t="inlineStr">
        <is>
          <t>Evidence Required</t>
        </is>
      </c>
      <c r="G3" s="61" t="inlineStr">
        <is>
          <t>Evidence Location / Reference</t>
        </is>
      </c>
      <c r="H3" s="61" t="inlineStr">
        <is>
          <t>Owner</t>
        </is>
      </c>
      <c r="I3" s="61" t="inlineStr">
        <is>
          <t>Review Date</t>
        </is>
      </c>
      <c r="J3" s="61" t="inlineStr">
        <is>
          <t>Notes</t>
        </is>
      </c>
    </row>
    <row r="4" ht="19.5" customHeight="1" s="57">
      <c r="A4" s="84" t="inlineStr">
        <is>
          <t xml:space="preserve">  MODEL SOVEREIGNTY</t>
        </is>
      </c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</row>
    <row r="5" ht="49.5" customHeight="1" s="57">
      <c r="A5" s="72" t="inlineStr">
        <is>
          <t>G-01</t>
        </is>
      </c>
      <c r="B5" s="67" t="inlineStr">
        <is>
          <t>Foundation model version is pinned to a specific named version — no floating alias ('latest')</t>
        </is>
      </c>
      <c r="C5" s="65" t="inlineStr">
        <is>
          <t>Model Sovereignty</t>
        </is>
      </c>
      <c r="D5" s="77" t="inlineStr">
        <is>
          <t>Blocker</t>
        </is>
      </c>
      <c r="E5" s="65" t="n"/>
      <c r="F5" s="67" t="inlineStr">
        <is>
          <t>Version pin confirmed at API gateway level, not documentation only</t>
        </is>
      </c>
      <c r="G5" s="67" t="n"/>
      <c r="H5" s="65" t="n"/>
      <c r="I5" s="65" t="n"/>
      <c r="J5" s="67" t="n"/>
    </row>
    <row r="6" ht="49.5" customHeight="1" s="57">
      <c r="A6" s="68" t="inlineStr">
        <is>
          <t>G-02</t>
        </is>
      </c>
      <c r="B6" s="64" t="inlineStr">
        <is>
          <t>Vendor provides contractual minimum 30-day advance notice of model version deprecation or forced upgrade</t>
        </is>
      </c>
      <c r="C6" s="62" t="inlineStr">
        <is>
          <t>Model Sovereignty</t>
        </is>
      </c>
      <c r="D6" s="77" t="inlineStr">
        <is>
          <t>Blocker</t>
        </is>
      </c>
      <c r="E6" s="62" t="n"/>
      <c r="F6" s="64" t="inlineStr">
        <is>
          <t>Executed contract clause — reviewed by legal, not filed</t>
        </is>
      </c>
      <c r="G6" s="64" t="n"/>
      <c r="H6" s="62" t="n"/>
      <c r="I6" s="62" t="n"/>
      <c r="J6" s="64" t="n"/>
    </row>
    <row r="7" ht="49.5" customHeight="1" s="57">
      <c r="A7" s="72" t="inlineStr">
        <is>
          <t>G-03</t>
        </is>
      </c>
      <c r="B7" s="67" t="inlineStr">
        <is>
          <t>Rollback to previous model version achievable within 30 minutes without a deployment cycle — tested</t>
        </is>
      </c>
      <c r="C7" s="65" t="inlineStr">
        <is>
          <t>Model Sovereignty</t>
        </is>
      </c>
      <c r="D7" s="77" t="inlineStr">
        <is>
          <t>Blocker</t>
        </is>
      </c>
      <c r="E7" s="65" t="n"/>
      <c r="F7" s="67" t="inlineStr">
        <is>
          <t>Rollback test record with timestamp and approver</t>
        </is>
      </c>
      <c r="G7" s="67" t="n"/>
      <c r="H7" s="65" t="n"/>
      <c r="I7" s="65" t="n"/>
      <c r="J7" s="67" t="n"/>
    </row>
    <row r="8" ht="49.5" customHeight="1" s="57">
      <c r="A8" s="68" t="inlineStr">
        <is>
          <t>G-04</t>
        </is>
      </c>
      <c r="B8" s="64" t="inlineStr">
        <is>
          <t>For Tier 1 agents: open-weights model on controlled infrastructure evaluated and decision documented</t>
        </is>
      </c>
      <c r="C8" s="62" t="inlineStr">
        <is>
          <t>Model Sovereignty</t>
        </is>
      </c>
      <c r="D8" s="81" t="inlineStr">
        <is>
          <t>Required</t>
        </is>
      </c>
      <c r="E8" s="62" t="n"/>
      <c r="F8" s="64" t="inlineStr">
        <is>
          <t>Architecture decision record with rationale</t>
        </is>
      </c>
      <c r="G8" s="64" t="n"/>
      <c r="H8" s="62" t="n"/>
      <c r="I8" s="62" t="n"/>
      <c r="J8" s="64" t="n"/>
    </row>
    <row r="9" ht="19.5" customHeight="1" s="57">
      <c r="A9" s="84" t="inlineStr">
        <is>
          <t xml:space="preserve">  CHANGE MANAGEMENT</t>
        </is>
      </c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</row>
    <row r="10" ht="49.5" customHeight="1" s="57">
      <c r="A10" s="68" t="inlineStr">
        <is>
          <t>G-05</t>
        </is>
      </c>
      <c r="B10" s="64" t="inlineStr">
        <is>
          <t>Any model version change classified as Class 1–4 before validation scope is determined</t>
        </is>
      </c>
      <c r="C10" s="62" t="inlineStr">
        <is>
          <t>Change Management</t>
        </is>
      </c>
      <c r="D10" s="77" t="inlineStr">
        <is>
          <t>Blocker</t>
        </is>
      </c>
      <c r="E10" s="62" t="n"/>
      <c r="F10" s="64" t="inlineStr">
        <is>
          <t>Change classification procedure and sign-off authority matrix</t>
        </is>
      </c>
      <c r="G10" s="64" t="n"/>
      <c r="H10" s="62" t="n"/>
      <c r="I10" s="62" t="n"/>
      <c r="J10" s="64" t="n"/>
    </row>
    <row r="11" ht="49.5" customHeight="1" s="57">
      <c r="A11" s="72" t="inlineStr">
        <is>
          <t>G-06</t>
        </is>
      </c>
      <c r="B11" s="67" t="inlineStr">
        <is>
          <t>Full regression test library exists — covers 100% of transaction/domain types including edge cases</t>
        </is>
      </c>
      <c r="C11" s="65" t="inlineStr">
        <is>
          <t>Change Management</t>
        </is>
      </c>
      <c r="D11" s="77" t="inlineStr">
        <is>
          <t>Blocker</t>
        </is>
      </c>
      <c r="E11" s="65" t="n"/>
      <c r="F11" s="67" t="inlineStr">
        <is>
          <t>Test library register with domain coverage % report</t>
        </is>
      </c>
      <c r="G11" s="67" t="n"/>
      <c r="H11" s="65" t="n"/>
      <c r="I11" s="65" t="n"/>
      <c r="J11" s="67" t="n"/>
    </row>
    <row r="12" ht="49.5" customHeight="1" s="57">
      <c r="A12" s="68" t="inlineStr">
        <is>
          <t>G-07</t>
        </is>
      </c>
      <c r="B12" s="64" t="inlineStr">
        <is>
          <t>Class 1 and Class 2 changes require 100% full library re-validation — no sample testing permitted</t>
        </is>
      </c>
      <c r="C12" s="62" t="inlineStr">
        <is>
          <t>Change Management</t>
        </is>
      </c>
      <c r="D12" s="77" t="inlineStr">
        <is>
          <t>Blocker</t>
        </is>
      </c>
      <c r="E12" s="62" t="n"/>
      <c r="F12" s="64" t="inlineStr">
        <is>
          <t>Validation policy document signed by risk owner</t>
        </is>
      </c>
      <c r="G12" s="64" t="n"/>
      <c r="H12" s="62" t="n"/>
      <c r="I12" s="62" t="n"/>
      <c r="J12" s="64" t="n"/>
    </row>
    <row r="13" ht="49.5" customHeight="1" s="57">
      <c r="A13" s="72" t="inlineStr">
        <is>
          <t>G-08</t>
        </is>
      </c>
      <c r="B13" s="67" t="inlineStr">
        <is>
          <t>72-hour parallel shadow run completed before any model version enters production</t>
        </is>
      </c>
      <c r="C13" s="65" t="inlineStr">
        <is>
          <t>Change Management</t>
        </is>
      </c>
      <c r="D13" s="81" t="inlineStr">
        <is>
          <t>Required</t>
        </is>
      </c>
      <c r="E13" s="65" t="n"/>
      <c r="F13" s="67" t="inlineStr">
        <is>
          <t>Parallel run report with discrepancy analysis</t>
        </is>
      </c>
      <c r="G13" s="67" t="n"/>
      <c r="H13" s="65" t="n"/>
      <c r="I13" s="65" t="n"/>
      <c r="J13" s="67" t="n"/>
    </row>
    <row r="14" ht="49.5" customHeight="1" s="57">
      <c r="A14" s="68" t="inlineStr">
        <is>
          <t>G-09</t>
        </is>
      </c>
      <c r="B14" s="64" t="inlineStr">
        <is>
          <t>Model version change requires risk owner sign-off — not technology team alone</t>
        </is>
      </c>
      <c r="C14" s="62" t="inlineStr">
        <is>
          <t>Change Management</t>
        </is>
      </c>
      <c r="D14" s="81" t="inlineStr">
        <is>
          <t>Required</t>
        </is>
      </c>
      <c r="E14" s="62" t="n"/>
      <c r="F14" s="64" t="inlineStr">
        <is>
          <t>Sign-off record in AI system register with date</t>
        </is>
      </c>
      <c r="G14" s="64" t="n"/>
      <c r="H14" s="62" t="n"/>
      <c r="I14" s="62" t="n"/>
      <c r="J14" s="64" t="n"/>
    </row>
    <row r="15" ht="49.5" customHeight="1" s="57">
      <c r="A15" s="72" t="inlineStr">
        <is>
          <t>G-10</t>
        </is>
      </c>
      <c r="B15" s="67" t="inlineStr">
        <is>
          <t>90-day stabilisation period enforced — no model upgrade within 90 days of initial go-live</t>
        </is>
      </c>
      <c r="C15" s="65" t="inlineStr">
        <is>
          <t>Change Management</t>
        </is>
      </c>
      <c r="D15" s="81" t="inlineStr">
        <is>
          <t>Required</t>
        </is>
      </c>
      <c r="E15" s="65" t="n"/>
      <c r="F15" s="67" t="inlineStr">
        <is>
          <t>Stabilisation period logged in deployment timeline</t>
        </is>
      </c>
      <c r="G15" s="67" t="n"/>
      <c r="H15" s="65" t="n"/>
      <c r="I15" s="65" t="n"/>
      <c r="J15" s="67" t="n"/>
    </row>
    <row r="16" ht="19.5" customHeight="1" s="57">
      <c r="A16" s="84" t="inlineStr">
        <is>
          <t xml:space="preserve">  MONITORING</t>
        </is>
      </c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</row>
    <row r="17" ht="49.5" customHeight="1" s="57">
      <c r="A17" s="72" t="inlineStr">
        <is>
          <t>G-11</t>
        </is>
      </c>
      <c r="B17" s="67" t="inlineStr">
        <is>
          <t>Canary monitoring active — known transactions with predefined outputs run every 2–4 hours in production</t>
        </is>
      </c>
      <c r="C17" s="65" t="inlineStr">
        <is>
          <t>Monitoring</t>
        </is>
      </c>
      <c r="D17" s="77" t="inlineStr">
        <is>
          <t>Blocker</t>
        </is>
      </c>
      <c r="E17" s="65" t="n"/>
      <c r="F17" s="67" t="inlineStr">
        <is>
          <t>Canary suite configuration, alert threshold definition, test log sample</t>
        </is>
      </c>
      <c r="G17" s="67" t="n"/>
      <c r="H17" s="65" t="n"/>
      <c r="I17" s="65" t="n"/>
      <c r="J17" s="67" t="n"/>
    </row>
    <row r="18" ht="49.5" customHeight="1" s="57">
      <c r="A18" s="68" t="inlineStr">
        <is>
          <t>G-12</t>
        </is>
      </c>
      <c r="B18" s="64" t="inlineStr">
        <is>
          <t>Decision distribution baseline captured at go-live — drift threshold defined per domain (≤3% before alert)</t>
        </is>
      </c>
      <c r="C18" s="62" t="inlineStr">
        <is>
          <t>Monitoring</t>
        </is>
      </c>
      <c r="D18" s="81" t="inlineStr">
        <is>
          <t>Required</t>
        </is>
      </c>
      <c r="E18" s="62" t="n"/>
      <c r="F18" s="64" t="inlineStr">
        <is>
          <t>Baseline distribution report, threshold configuration</t>
        </is>
      </c>
      <c r="G18" s="64" t="n"/>
      <c r="H18" s="62" t="n"/>
      <c r="I18" s="62" t="n"/>
      <c r="J18" s="64" t="n"/>
    </row>
    <row r="19" ht="49.5" customHeight="1" s="57">
      <c r="A19" s="72" t="inlineStr">
        <is>
          <t>G-13</t>
        </is>
      </c>
      <c r="B19" s="67" t="inlineStr">
        <is>
          <t>Exception rate trending monitored — unusual spike in any domain triggers review within 4 hours</t>
        </is>
      </c>
      <c r="C19" s="65" t="inlineStr">
        <is>
          <t>Monitoring</t>
        </is>
      </c>
      <c r="D19" s="81" t="inlineStr">
        <is>
          <t>Required</t>
        </is>
      </c>
      <c r="E19" s="65" t="n"/>
      <c r="F19" s="67" t="inlineStr">
        <is>
          <t>Monitoring dashboard configuration, alert runbook</t>
        </is>
      </c>
      <c r="G19" s="67" t="n"/>
      <c r="H19" s="65" t="n"/>
      <c r="I19" s="65" t="n"/>
      <c r="J19" s="67" t="n"/>
    </row>
    <row r="20" ht="49.5" customHeight="1" s="57">
      <c r="A20" s="68" t="inlineStr">
        <is>
          <t>G-14</t>
        </is>
      </c>
      <c r="B20" s="64" t="inlineStr">
        <is>
          <t>Monthly outcome reconciliation — agent decisions compared against downstream business outcomes</t>
        </is>
      </c>
      <c r="C20" s="62" t="inlineStr">
        <is>
          <t>Monitoring</t>
        </is>
      </c>
      <c r="D20" s="85" t="inlineStr">
        <is>
          <t>Recommended</t>
        </is>
      </c>
      <c r="E20" s="62" t="n"/>
      <c r="F20" s="64" t="inlineStr">
        <is>
          <t>Reconciliation procedure and sample report</t>
        </is>
      </c>
      <c r="G20" s="64" t="n"/>
      <c r="H20" s="62" t="n"/>
      <c r="I20" s="62" t="n"/>
      <c r="J20" s="64" t="n"/>
    </row>
    <row r="21" ht="19.5" customHeight="1" s="57">
      <c r="A21" s="84" t="inlineStr">
        <is>
          <t xml:space="preserve">  BLAST RADIUS</t>
        </is>
      </c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</row>
    <row r="22" ht="49.5" customHeight="1" s="57">
      <c r="A22" s="68" t="inlineStr">
        <is>
          <t>G-15</t>
        </is>
      </c>
      <c r="B22" s="64" t="inlineStr">
        <is>
          <t>Hard transaction caps enforced in integration layer code — not in model prompt. Reviewed directly.</t>
        </is>
      </c>
      <c r="C22" s="62" t="inlineStr">
        <is>
          <t>Blast Radius</t>
        </is>
      </c>
      <c r="D22" s="77" t="inlineStr">
        <is>
          <t>Blocker</t>
        </is>
      </c>
      <c r="E22" s="62" t="n"/>
      <c r="F22" s="64" t="inlineStr">
        <is>
          <t>Integration layer code review, threshold breach test record</t>
        </is>
      </c>
      <c r="G22" s="64" t="n"/>
      <c r="H22" s="62" t="n"/>
      <c r="I22" s="62" t="n"/>
      <c r="J22" s="64" t="n"/>
    </row>
    <row r="23" ht="49.5" customHeight="1" s="57">
      <c r="A23" s="72" t="inlineStr">
        <is>
          <t>G-16</t>
        </is>
      </c>
      <c r="B23" s="67" t="inlineStr">
        <is>
          <t>Automatic suspension threshold defined — agent halts and escalates if decision pattern deviates beyond threshold</t>
        </is>
      </c>
      <c r="C23" s="65" t="inlineStr">
        <is>
          <t>Blast Radius</t>
        </is>
      </c>
      <c r="D23" s="77" t="inlineStr">
        <is>
          <t>Blocker</t>
        </is>
      </c>
      <c r="E23" s="65" t="n"/>
      <c r="F23" s="67" t="inlineStr">
        <is>
          <t>Suspension logic code review, threshold test evidence</t>
        </is>
      </c>
      <c r="G23" s="67" t="n"/>
      <c r="H23" s="65" t="n"/>
      <c r="I23" s="65" t="n"/>
      <c r="J23" s="67" t="n"/>
    </row>
    <row r="24" ht="49.5" customHeight="1" s="57">
      <c r="A24" s="68" t="inlineStr">
        <is>
          <t>G-17</t>
        </is>
      </c>
      <c r="B24" s="64" t="inlineStr">
        <is>
          <t>Kill switch documented, tested, and executable in under 5 minutes without deployment cycle</t>
        </is>
      </c>
      <c r="C24" s="62" t="inlineStr">
        <is>
          <t>Blast Radius</t>
        </is>
      </c>
      <c r="D24" s="77" t="inlineStr">
        <is>
          <t>Blocker</t>
        </is>
      </c>
      <c r="E24" s="62" t="n"/>
      <c r="F24" s="64" t="inlineStr">
        <is>
          <t>Kill switch procedure, test record, authorised activator list</t>
        </is>
      </c>
      <c r="G24" s="64" t="n"/>
      <c r="H24" s="62" t="n"/>
      <c r="I24" s="62" t="n"/>
      <c r="J24" s="64" t="n"/>
    </row>
    <row r="25" ht="49.5" customHeight="1" s="57">
      <c r="A25" s="72" t="inlineStr">
        <is>
          <t>G-18</t>
        </is>
      </c>
      <c r="B25" s="67" t="inlineStr">
        <is>
          <t>Segregation of duties enforced — agent initiating action cannot be same agent approving it</t>
        </is>
      </c>
      <c r="C25" s="65" t="inlineStr">
        <is>
          <t>Blast Radius</t>
        </is>
      </c>
      <c r="D25" s="81" t="inlineStr">
        <is>
          <t>Required</t>
        </is>
      </c>
      <c r="E25" s="65" t="n"/>
      <c r="F25" s="67" t="inlineStr">
        <is>
          <t>Architecture diagram showing segregation, code review</t>
        </is>
      </c>
      <c r="G25" s="67" t="n"/>
      <c r="H25" s="65" t="n"/>
      <c r="I25" s="65" t="n"/>
      <c r="J25" s="67" t="n"/>
    </row>
    <row r="26" ht="19.5" customHeight="1" s="57">
      <c r="A26" s="84" t="inlineStr">
        <is>
          <t xml:space="preserve">  DATA SECURITY</t>
        </is>
      </c>
      <c r="B26" s="71" t="n"/>
      <c r="C26" s="71" t="n"/>
      <c r="D26" s="71" t="n"/>
      <c r="E26" s="71" t="n"/>
      <c r="F26" s="71" t="n"/>
      <c r="G26" s="71" t="n"/>
      <c r="H26" s="71" t="n"/>
      <c r="I26" s="71" t="n"/>
      <c r="J26" s="71" t="n"/>
    </row>
    <row r="27" ht="49.5" customHeight="1" s="57">
      <c r="A27" s="72" t="inlineStr">
        <is>
          <t>G-19</t>
        </is>
      </c>
      <c r="B27" s="67" t="inlineStr">
        <is>
          <t>Zero-training clause in vendor contract — covers sub-processors, embeddings, and metadata explicitly</t>
        </is>
      </c>
      <c r="C27" s="65" t="inlineStr">
        <is>
          <t>Data Security</t>
        </is>
      </c>
      <c r="D27" s="77" t="inlineStr">
        <is>
          <t>Blocker</t>
        </is>
      </c>
      <c r="E27" s="65" t="n"/>
      <c r="F27" s="67" t="inlineStr">
        <is>
          <t>Executed MSA with clause highlighted, legal review sign-off</t>
        </is>
      </c>
      <c r="G27" s="67" t="n"/>
      <c r="H27" s="65" t="n"/>
      <c r="I27" s="65" t="n"/>
      <c r="J27" s="67" t="n"/>
    </row>
    <row r="28" ht="49.5" customHeight="1" s="57">
      <c r="A28" s="68" t="inlineStr">
        <is>
          <t>G-20</t>
        </is>
      </c>
      <c r="B28" s="64" t="inlineStr">
        <is>
          <t>All data processing geographically restricted to approved jurisdictions — including failover paths</t>
        </is>
      </c>
      <c r="C28" s="62" t="inlineStr">
        <is>
          <t>Data Security</t>
        </is>
      </c>
      <c r="D28" s="77" t="inlineStr">
        <is>
          <t>Blocker</t>
        </is>
      </c>
      <c r="E28" s="62" t="n"/>
      <c r="F28" s="64" t="inlineStr">
        <is>
          <t>Cloud region config, failover endpoint mapping, legal sign-off</t>
        </is>
      </c>
      <c r="G28" s="64" t="n"/>
      <c r="H28" s="62" t="n"/>
      <c r="I28" s="62" t="n"/>
      <c r="J28" s="64" t="n"/>
    </row>
    <row r="29" ht="49.5" customHeight="1" s="57">
      <c r="A29" s="72" t="inlineStr">
        <is>
          <t>G-21</t>
        </is>
      </c>
      <c r="B29" s="67" t="inlineStr">
        <is>
          <t>RBAC enforced at system access, retrieval scope, and output scope — verified by functional testing</t>
        </is>
      </c>
      <c r="C29" s="65" t="inlineStr">
        <is>
          <t>Data Security</t>
        </is>
      </c>
      <c r="D29" s="77" t="inlineStr">
        <is>
          <t>Blocker</t>
        </is>
      </c>
      <c r="E29" s="65" t="n"/>
      <c r="F29" s="67" t="inlineStr">
        <is>
          <t>RBAC matrix, least privilege test evidence</t>
        </is>
      </c>
      <c r="G29" s="67" t="n"/>
      <c r="H29" s="65" t="n"/>
      <c r="I29" s="65" t="n"/>
      <c r="J29" s="67" t="n"/>
    </row>
    <row r="30" ht="49.5" customHeight="1" s="57">
      <c r="A30" s="68" t="inlineStr">
        <is>
          <t>G-22</t>
        </is>
      </c>
      <c r="B30" s="64" t="inlineStr">
        <is>
          <t>PII sanitisation validated against actual production data types — false negative rate measured</t>
        </is>
      </c>
      <c r="C30" s="62" t="inlineStr">
        <is>
          <t>Data Security</t>
        </is>
      </c>
      <c r="D30" s="81" t="inlineStr">
        <is>
          <t>Required</t>
        </is>
      </c>
      <c r="E30" s="62" t="n"/>
      <c r="F30" s="64" t="inlineStr">
        <is>
          <t>Masking logic documentation, production data test results</t>
        </is>
      </c>
      <c r="G30" s="64" t="n"/>
      <c r="H30" s="62" t="n"/>
      <c r="I30" s="62" t="n"/>
      <c r="J30" s="64" t="n"/>
    </row>
    <row r="31" ht="19.5" customHeight="1" s="57">
      <c r="A31" s="84" t="inlineStr">
        <is>
          <t xml:space="preserve">  ACCOUNTABILITY</t>
        </is>
      </c>
      <c r="B31" s="71" t="n"/>
      <c r="C31" s="71" t="n"/>
      <c r="D31" s="71" t="n"/>
      <c r="E31" s="71" t="n"/>
      <c r="F31" s="71" t="n"/>
      <c r="G31" s="71" t="n"/>
      <c r="H31" s="71" t="n"/>
      <c r="I31" s="71" t="n"/>
      <c r="J31" s="71" t="n"/>
    </row>
    <row r="32" ht="49.5" customHeight="1" s="57">
      <c r="A32" s="68" t="inlineStr">
        <is>
          <t>G-23</t>
        </is>
      </c>
      <c r="B32" s="64" t="inlineStr">
        <is>
          <t>Single named risk owner assigned — not a team. Accountable for agent behaviour in production.</t>
        </is>
      </c>
      <c r="C32" s="62" t="inlineStr">
        <is>
          <t>Accountability</t>
        </is>
      </c>
      <c r="D32" s="77" t="inlineStr">
        <is>
          <t>Blocker</t>
        </is>
      </c>
      <c r="E32" s="62" t="n"/>
      <c r="F32" s="64" t="inlineStr">
        <is>
          <t>Named individual in AI system register with formal acceptance</t>
        </is>
      </c>
      <c r="G32" s="64" t="n"/>
      <c r="H32" s="62" t="n"/>
      <c r="I32" s="62" t="n"/>
      <c r="J32" s="64" t="n"/>
    </row>
    <row r="33" ht="49.5" customHeight="1" s="57">
      <c r="A33" s="72" t="inlineStr">
        <is>
          <t>G-24</t>
        </is>
      </c>
      <c r="B33" s="67" t="inlineStr">
        <is>
          <t>AI system register entry complete — model version, risk classification, validation date, open findings</t>
        </is>
      </c>
      <c r="C33" s="65" t="inlineStr">
        <is>
          <t>Accountability</t>
        </is>
      </c>
      <c r="D33" s="81" t="inlineStr">
        <is>
          <t>Required</t>
        </is>
      </c>
      <c r="E33" s="65" t="n"/>
      <c r="F33" s="67" t="inlineStr">
        <is>
          <t>AI system register record with all 9 required fields populated</t>
        </is>
      </c>
      <c r="G33" s="67" t="n"/>
      <c r="H33" s="65" t="n"/>
      <c r="I33" s="65" t="n"/>
      <c r="J33" s="67" t="n"/>
    </row>
    <row r="34" ht="49.5" customHeight="1" s="57">
      <c r="A34" s="68" t="inlineStr">
        <is>
          <t>G-25</t>
        </is>
      </c>
      <c r="B34" s="64" t="inlineStr">
        <is>
          <t>AI-specific incident response procedure documented and exercised in tabletop scenario</t>
        </is>
      </c>
      <c r="C34" s="62" t="inlineStr">
        <is>
          <t>Accountability</t>
        </is>
      </c>
      <c r="D34" s="81" t="inlineStr">
        <is>
          <t>Required</t>
        </is>
      </c>
      <c r="E34" s="62" t="n"/>
      <c r="F34" s="64" t="inlineStr">
        <is>
          <t>Incident response procedure, tabletop exercise record</t>
        </is>
      </c>
      <c r="G34" s="64" t="n"/>
      <c r="H34" s="62" t="n"/>
      <c r="I34" s="62" t="n"/>
      <c r="J34" s="64" t="n"/>
    </row>
    <row r="35" ht="49.5" customHeight="1" s="57">
      <c r="A35" s="72" t="inlineStr">
        <is>
          <t>G-26</t>
        </is>
      </c>
      <c r="B35" s="67" t="inlineStr">
        <is>
          <t>Quarterly governance review scheduled — risk owner and AI CoE. Not optional for Tier 1 agents.</t>
        </is>
      </c>
      <c r="C35" s="65" t="inlineStr">
        <is>
          <t>Accountability</t>
        </is>
      </c>
      <c r="D35" s="85" t="inlineStr">
        <is>
          <t>Recommended</t>
        </is>
      </c>
      <c r="E35" s="65" t="n"/>
      <c r="F35" s="67" t="inlineStr">
        <is>
          <t>Quarterly review calendar entry, previous review record</t>
        </is>
      </c>
      <c r="G35" s="67" t="n"/>
      <c r="H35" s="65" t="n"/>
      <c r="I35" s="65" t="n"/>
      <c r="J35" s="67" t="n"/>
    </row>
    <row r="36" ht="19.5" customHeight="1" s="57">
      <c r="A36" s="84" t="inlineStr">
        <is>
          <t xml:space="preserve">  SCOPE CONTROL</t>
        </is>
      </c>
      <c r="B36" s="71" t="n"/>
      <c r="C36" s="71" t="n"/>
      <c r="D36" s="71" t="n"/>
      <c r="E36" s="71" t="n"/>
      <c r="F36" s="71" t="n"/>
      <c r="G36" s="71" t="n"/>
      <c r="H36" s="71" t="n"/>
      <c r="I36" s="71" t="n"/>
      <c r="J36" s="71" t="n"/>
    </row>
    <row r="37" ht="49.5" customHeight="1" s="57">
      <c r="A37" s="72" t="inlineStr">
        <is>
          <t>G-27</t>
        </is>
      </c>
      <c r="B37" s="67" t="inlineStr">
        <is>
          <t>Agent scope limited to cognitive tasks only — all deterministic sub-tasks removed to rule engine / formula</t>
        </is>
      </c>
      <c r="C37" s="65" t="inlineStr">
        <is>
          <t>Scope Control</t>
        </is>
      </c>
      <c r="D37" s="77" t="inlineStr">
        <is>
          <t>Blocker</t>
        </is>
      </c>
      <c r="E37" s="65" t="n"/>
      <c r="F37" s="67" t="inlineStr">
        <is>
          <t>Agent scope definition document, pre-filter specification</t>
        </is>
      </c>
      <c r="G37" s="67" t="n"/>
      <c r="H37" s="65" t="n"/>
      <c r="I37" s="65" t="n"/>
      <c r="J37" s="67" t="n"/>
    </row>
    <row r="38" ht="49.5" customHeight="1" s="57">
      <c r="A38" s="68" t="inlineStr">
        <is>
          <t>G-28</t>
        </is>
      </c>
      <c r="B38" s="64" t="inlineStr">
        <is>
          <t>AI qualification checklist completed and approved before architecture build commenced</t>
        </is>
      </c>
      <c r="C38" s="62" t="inlineStr">
        <is>
          <t>Scope Control</t>
        </is>
      </c>
      <c r="D38" s="77" t="inlineStr">
        <is>
          <t>Blocker</t>
        </is>
      </c>
      <c r="E38" s="62" t="n"/>
      <c r="F38" s="64" t="inlineStr">
        <is>
          <t>Signed qualification checklist with Review Board sign-off</t>
        </is>
      </c>
      <c r="G38" s="64" t="n"/>
      <c r="H38" s="62" t="n"/>
      <c r="I38" s="62" t="n"/>
      <c r="J38" s="64" t="n"/>
    </row>
    <row r="39" ht="49.5" customHeight="1" s="57">
      <c r="A39" s="72" t="inlineStr">
        <is>
          <t>G-29</t>
        </is>
      </c>
      <c r="B39" s="67" t="inlineStr">
        <is>
          <t>Governance cost included in approved business case — test library, monitoring, change cycles, rollback</t>
        </is>
      </c>
      <c r="C39" s="65" t="inlineStr">
        <is>
          <t>Scope Control</t>
        </is>
      </c>
      <c r="D39" s="81" t="inlineStr">
        <is>
          <t>Required</t>
        </is>
      </c>
      <c r="E39" s="65" t="n"/>
      <c r="F39" s="67" t="inlineStr">
        <is>
          <t>Business case document with governance cost line items approved</t>
        </is>
      </c>
      <c r="G39" s="67" t="n"/>
      <c r="H39" s="65" t="n"/>
      <c r="I39" s="65" t="n"/>
      <c r="J39" s="67" t="n"/>
    </row>
    <row r="40" ht="19.5" customHeight="1" s="57">
      <c r="A40" s="84" t="inlineStr">
        <is>
          <t xml:space="preserve">  PORTFOLIO CAPACITY</t>
        </is>
      </c>
      <c r="B40" s="71" t="n"/>
      <c r="C40" s="71" t="n"/>
      <c r="D40" s="71" t="n"/>
      <c r="E40" s="71" t="n"/>
      <c r="F40" s="71" t="n"/>
      <c r="G40" s="71" t="n"/>
      <c r="H40" s="71" t="n"/>
      <c r="I40" s="71" t="n"/>
      <c r="J40" s="71" t="n"/>
    </row>
    <row r="41" ht="49.5" customHeight="1" s="57">
      <c r="A41" s="72" t="inlineStr">
        <is>
          <t>G-30</t>
        </is>
      </c>
      <c r="B41" s="67" t="inlineStr">
        <is>
          <t>Portfolio bandwidth score calculated and current utilisation below 70% red line</t>
        </is>
      </c>
      <c r="C41" s="65" t="inlineStr">
        <is>
          <t>Portfolio Capacity</t>
        </is>
      </c>
      <c r="D41" s="77" t="inlineStr">
        <is>
          <t>Blocker</t>
        </is>
      </c>
      <c r="E41" s="65" t="n"/>
      <c r="F41" s="67" t="inlineStr">
        <is>
          <t>Portfolio dashboard screenshot at time of approval</t>
        </is>
      </c>
      <c r="G41" s="67" t="n"/>
      <c r="H41" s="65" t="n"/>
      <c r="I41" s="65" t="n"/>
      <c r="J41" s="67" t="n"/>
    </row>
    <row r="42" ht="49.5" customHeight="1" s="57">
      <c r="A42" s="68" t="inlineStr">
        <is>
          <t>G-31</t>
        </is>
      </c>
      <c r="B42" s="64" t="inlineStr">
        <is>
          <t>Go-live date staggered minimum 30 days from any other Tier 1 agent go-live</t>
        </is>
      </c>
      <c r="C42" s="62" t="inlineStr">
        <is>
          <t>Portfolio Capacity</t>
        </is>
      </c>
      <c r="D42" s="81" t="inlineStr">
        <is>
          <t>Required</t>
        </is>
      </c>
      <c r="E42" s="62" t="n"/>
      <c r="F42" s="64" t="inlineStr">
        <is>
          <t>Portfolio deployment calendar showing stagger</t>
        </is>
      </c>
      <c r="G42" s="64" t="n"/>
      <c r="H42" s="62" t="n"/>
      <c r="I42" s="62" t="n"/>
      <c r="J42" s="64" t="n"/>
    </row>
    <row r="43" ht="49.5" customHeight="1" s="57">
      <c r="A43" s="72" t="inlineStr">
        <is>
          <t>G-32</t>
        </is>
      </c>
      <c r="B43" s="67" t="inlineStr">
        <is>
          <t>20% governance bandwidth buffer maintained — not allocated to this or any other project</t>
        </is>
      </c>
      <c r="C43" s="65" t="inlineStr">
        <is>
          <t>Portfolio Capacity</t>
        </is>
      </c>
      <c r="D43" s="81" t="inlineStr">
        <is>
          <t>Required</t>
        </is>
      </c>
      <c r="E43" s="65" t="n"/>
      <c r="F43" s="67" t="inlineStr">
        <is>
          <t>Bandwidth allocation confirmation from AI CoE lead</t>
        </is>
      </c>
      <c r="G43" s="67" t="n"/>
      <c r="H43" s="65" t="n"/>
      <c r="I43" s="65" t="n"/>
      <c r="J43" s="67" t="n"/>
    </row>
    <row r="44" ht="21.75" customHeight="1" s="57">
      <c r="A44" s="86" t="inlineStr">
        <is>
          <t xml:space="preserve">  AI SECURITY</t>
        </is>
      </c>
    </row>
    <row r="45">
      <c r="A45" s="78" t="inlineStr">
        <is>
          <t>SEC-01</t>
        </is>
      </c>
      <c r="B45" s="79" t="inlineStr">
        <is>
          <t>Prompt Injection &amp; Jailbreak: untrusted inputs evaluated by adversarial guard model before reaching primary agent prompt</t>
        </is>
      </c>
      <c r="C45" s="79" t="inlineStr">
        <is>
          <t>AI Security</t>
        </is>
      </c>
      <c r="D45" s="80" t="inlineStr">
        <is>
          <t>Blocker</t>
        </is>
      </c>
      <c r="E45" s="79" t="n"/>
      <c r="F45" s="79" t="inlineStr">
        <is>
          <t>Guard model config, firewall rule set, injection test evidence</t>
        </is>
      </c>
      <c r="G45" s="79" t="n"/>
      <c r="H45" s="79" t="n"/>
      <c r="I45" s="79" t="n"/>
      <c r="J45" s="79" t="n"/>
    </row>
    <row r="46">
      <c r="A46" s="78" t="inlineStr">
        <is>
          <t>SEC-02</t>
        </is>
      </c>
      <c r="B46" s="79" t="inlineStr">
        <is>
          <t>Tool &amp; RAG Poisoning: ingested payloads from external APIs/vector stores validated against deterministic schemas; anomalies dropped</t>
        </is>
      </c>
      <c r="C46" s="79" t="inlineStr">
        <is>
          <t>AI Security</t>
        </is>
      </c>
      <c r="D46" s="80" t="inlineStr">
        <is>
          <t>Blocker</t>
        </is>
      </c>
      <c r="E46" s="79" t="n"/>
      <c r="F46" s="79" t="inlineStr">
        <is>
          <t>Schema validation logic, RAG sanitisation test record</t>
        </is>
      </c>
      <c r="G46" s="79" t="n"/>
      <c r="H46" s="79" t="n"/>
      <c r="I46" s="79" t="n"/>
      <c r="J46" s="79" t="n"/>
    </row>
    <row r="47">
      <c r="A47" s="78" t="inlineStr">
        <is>
          <t>SEC-03</t>
        </is>
      </c>
      <c r="B47" s="79" t="inlineStr">
        <is>
          <t>MCP Governance: MCP servers implement token-based auth, granular resource allow-lists, runtime container isolation</t>
        </is>
      </c>
      <c r="C47" s="79" t="inlineStr">
        <is>
          <t>AI Security</t>
        </is>
      </c>
      <c r="D47" s="80" t="inlineStr">
        <is>
          <t>Blocker</t>
        </is>
      </c>
      <c r="E47" s="79" t="n"/>
      <c r="F47" s="79" t="inlineStr">
        <is>
          <t>MCP auth config, allow-list policy, container isolation test</t>
        </is>
      </c>
      <c r="G47" s="79" t="n"/>
      <c r="H47" s="79" t="n"/>
      <c r="I47" s="79" t="n"/>
      <c r="J47" s="79" t="n"/>
    </row>
    <row r="48">
      <c r="A48" s="78" t="inlineStr">
        <is>
          <t>SEC-04</t>
        </is>
      </c>
      <c r="B48" s="79" t="inlineStr">
        <is>
          <t>Agent Identity &amp; Exfiltration: every autonomous agent signs API requests with cryptographic identity token; outbound payloads inspected</t>
        </is>
      </c>
      <c r="C48" s="79" t="inlineStr">
        <is>
          <t>AI Security</t>
        </is>
      </c>
      <c r="D48" s="87" t="inlineStr">
        <is>
          <t>Required</t>
        </is>
      </c>
      <c r="E48" s="79" t="n"/>
      <c r="F48" s="79" t="inlineStr">
        <is>
          <t>Agent identity token config, outbound filter test evidence</t>
        </is>
      </c>
      <c r="G48" s="79" t="n"/>
      <c r="H48" s="79" t="n"/>
      <c r="I48" s="79" t="n"/>
      <c r="J48" s="79" t="n"/>
    </row>
    <row r="49">
      <c r="A49" s="82" t="inlineStr">
        <is>
          <t>OVERALL GOVERNANCE STATUS</t>
        </is>
      </c>
      <c r="I49" s="83">
        <f>IF(COUNTIF(E4:E43,"Fail")&gt;0,"NOT READY — Blockers/failures outstanding",IF(COUNTIF(E4:E43,"Pending")&gt;0,"IN PROGRESS","APPROVED FOR DEPLOYMENT"))</f>
        <v/>
      </c>
      <c r="J49" s="71" t="n"/>
    </row>
  </sheetData>
  <autoFilter ref="A3:J43"/>
  <mergeCells count="13">
    <mergeCell ref="I44:J44"/>
    <mergeCell ref="A44:J44"/>
    <mergeCell ref="A1:J1"/>
    <mergeCell ref="A36:J36"/>
    <mergeCell ref="A31:J31"/>
    <mergeCell ref="A40:J40"/>
    <mergeCell ref="A9:J9"/>
    <mergeCell ref="A16:J16"/>
    <mergeCell ref="A21:J21"/>
    <mergeCell ref="A4:J4"/>
    <mergeCell ref="A26:J26"/>
    <mergeCell ref="A44:H44"/>
    <mergeCell ref="A2:J2"/>
  </mergeCells>
  <dataValidations count="1">
    <dataValidation sqref="E5:E8 E10:E15 E17:E20 E22:E25 E27:E30 E32:E35 E37:E39 E41:E43" showDropDown="0" showInputMessage="0" showErrorMessage="0" allowBlank="1" type="list" errorStyle="stop" operator="between">
      <formula1>"Pass,Fail,Pending,Not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6" min="1" max="1"/>
    <col width="28" customWidth="1" style="56" min="2" max="3"/>
    <col width="16" customWidth="1" style="56" min="4" max="4"/>
    <col width="14" customWidth="1" style="56" min="5" max="8"/>
    <col width="10" customWidth="1" style="56" min="9" max="9"/>
    <col width="12" customWidth="1" style="56" min="10" max="10"/>
    <col width="14" customWidth="1" style="56" min="11" max="11"/>
    <col width="22" customWidth="1" style="56" min="12" max="12"/>
  </cols>
  <sheetData>
    <row r="1" ht="31.5" customHeight="1" s="57">
      <c r="A1" s="75" t="inlineStr">
        <is>
          <t>Model Change Management Grid — Classification, Timeline &amp; Test Validation</t>
        </is>
      </c>
    </row>
    <row r="2" ht="18" customHeight="1" s="57">
      <c r="A2" s="76" t="inlineStr">
        <is>
          <t>Every model version change must be classified before validation scope is determined. Zero regression failures permitted. Test library is append-only — no cases are ever deleted.</t>
        </is>
      </c>
    </row>
    <row r="3" ht="36" customHeight="1" s="57">
      <c r="A3" s="61" t="inlineStr">
        <is>
          <t>Change
Class</t>
        </is>
      </c>
      <c r="B3" s="61" t="inlineStr">
        <is>
          <t>Description</t>
        </is>
      </c>
      <c r="C3" s="61" t="inlineStr">
        <is>
          <t>Example Triggers</t>
        </is>
      </c>
      <c r="D3" s="61" t="inlineStr">
        <is>
          <t>Test Scope
Required</t>
        </is>
      </c>
      <c r="E3" s="61" t="inlineStr">
        <is>
          <t>Tier A
(Critical Path)</t>
        </is>
      </c>
      <c r="F3" s="61" t="inlineStr">
        <is>
          <t>Tier B
(Domain Coverage)</t>
        </is>
      </c>
      <c r="G3" s="61" t="inlineStr">
        <is>
          <t>Tier C
(Edge Cases)</t>
        </is>
      </c>
      <c r="H3" s="61" t="inlineStr">
        <is>
          <t>Tier D
(Regression)</t>
        </is>
      </c>
      <c r="I3" s="61" t="inlineStr">
        <is>
          <t>Parallel
Run</t>
        </is>
      </c>
      <c r="J3" s="61" t="inlineStr">
        <is>
          <t>Min Timeline
(Bus. Days)</t>
        </is>
      </c>
      <c r="K3" s="61" t="inlineStr">
        <is>
          <t>Risk Owner
Sign-off</t>
        </is>
      </c>
      <c r="L3" s="61" t="inlineStr">
        <is>
          <t>Notes</t>
        </is>
      </c>
    </row>
    <row r="4" ht="60" customHeight="1" s="57">
      <c r="A4" s="88" t="inlineStr">
        <is>
          <t>Class 1
Major</t>
        </is>
      </c>
      <c r="B4" s="89" t="inlineStr">
        <is>
          <t>Foundation model replaced — new model family or provider switch</t>
        </is>
      </c>
      <c r="C4" s="89" t="inlineStr">
        <is>
          <t>GPT-4 → GPT-5
Claude 3 → Claude 4
Any provider switch</t>
        </is>
      </c>
      <c r="D4" s="90" t="inlineStr">
        <is>
          <t>100%
Full Library</t>
        </is>
      </c>
      <c r="E4" s="90" t="inlineStr">
        <is>
          <t>✓ Mandatory</t>
        </is>
      </c>
      <c r="F4" s="90" t="inlineStr">
        <is>
          <t>✓ Mandatory</t>
        </is>
      </c>
      <c r="G4" s="90" t="inlineStr">
        <is>
          <t>✓ Mandatory</t>
        </is>
      </c>
      <c r="H4" s="90" t="inlineStr">
        <is>
          <t>✓ Mandatory</t>
        </is>
      </c>
      <c r="I4" s="90" t="inlineStr">
        <is>
          <t>72 hrs</t>
        </is>
      </c>
      <c r="J4" s="90" t="inlineStr">
        <is>
          <t>15</t>
        </is>
      </c>
      <c r="K4" s="90" t="inlineStr">
        <is>
          <t>CRO + Risk Owner</t>
        </is>
      </c>
      <c r="L4" s="89" t="n"/>
    </row>
    <row r="5" ht="60" customHeight="1" s="57">
      <c r="A5" s="91" t="inlineStr">
        <is>
          <t>Class 2
Minor</t>
        </is>
      </c>
      <c r="B5" s="92" t="inlineStr">
        <is>
          <t>Version increment on same foundation model</t>
        </is>
      </c>
      <c r="C5" s="92" t="inlineStr">
        <is>
          <t>gpt-4o → gpt-4o-2025-11
Claude 3.5 → Claude 3.6
Any patch version bump</t>
        </is>
      </c>
      <c r="D5" s="93" t="inlineStr">
        <is>
          <t>100%
Full Library</t>
        </is>
      </c>
      <c r="E5" s="93" t="inlineStr">
        <is>
          <t>✓ Mandatory</t>
        </is>
      </c>
      <c r="F5" s="93" t="inlineStr">
        <is>
          <t>✓ Mandatory</t>
        </is>
      </c>
      <c r="G5" s="93" t="inlineStr">
        <is>
          <t>✓ Mandatory</t>
        </is>
      </c>
      <c r="H5" s="93" t="inlineStr">
        <is>
          <t>✓ Mandatory</t>
        </is>
      </c>
      <c r="I5" s="93" t="inlineStr">
        <is>
          <t>72 hrs</t>
        </is>
      </c>
      <c r="J5" s="93" t="inlineStr">
        <is>
          <t>7</t>
        </is>
      </c>
      <c r="K5" s="93" t="inlineStr">
        <is>
          <t>Risk Owner</t>
        </is>
      </c>
      <c r="L5" s="92" t="n"/>
    </row>
    <row r="6" ht="60" customHeight="1" s="57">
      <c r="A6" s="94" t="inlineStr">
        <is>
          <t>Class 3
Patch</t>
        </is>
      </c>
      <c r="B6" s="95" t="inlineStr">
        <is>
          <t>Configuration or parameter change on same model version</t>
        </is>
      </c>
      <c r="C6" s="95" t="inlineStr">
        <is>
          <t>Temperature change
System prompt update
Context window change
top-p / top-k change</t>
        </is>
      </c>
      <c r="D6" s="96" t="inlineStr">
        <is>
          <t>Affected domains
+ full regression</t>
        </is>
      </c>
      <c r="E6" s="96" t="inlineStr">
        <is>
          <t>✓ Mandatory</t>
        </is>
      </c>
      <c r="F6" s="96" t="inlineStr">
        <is>
          <t>Affected
domains only</t>
        </is>
      </c>
      <c r="G6" s="96" t="inlineStr">
        <is>
          <t>✓ Mandatory</t>
        </is>
      </c>
      <c r="H6" s="96" t="inlineStr">
        <is>
          <t>✓ Mandatory</t>
        </is>
      </c>
      <c r="I6" s="96" t="inlineStr">
        <is>
          <t>24 hrs</t>
        </is>
      </c>
      <c r="J6" s="96" t="inlineStr">
        <is>
          <t>3</t>
        </is>
      </c>
      <c r="K6" s="96" t="inlineStr">
        <is>
          <t>Risk Owner</t>
        </is>
      </c>
      <c r="L6" s="95" t="n"/>
    </row>
    <row r="7" ht="60" customHeight="1" s="57">
      <c r="A7" s="97" t="inlineStr">
        <is>
          <t>Class 4
Hotfix</t>
        </is>
      </c>
      <c r="B7" s="98" t="inlineStr">
        <is>
          <t>Emergency rollback to previous pinned version due to live incident</t>
        </is>
      </c>
      <c r="C7" s="98" t="inlineStr">
        <is>
          <t>Production incident
requires immediate
reversion to v(n-1)</t>
        </is>
      </c>
      <c r="D7" s="99" t="inlineStr">
        <is>
          <t>Canary suite
+ critical path</t>
        </is>
      </c>
      <c r="E7" s="99" t="inlineStr">
        <is>
          <t>✓ Mandatory</t>
        </is>
      </c>
      <c r="F7" s="99" t="inlineStr">
        <is>
          <t>✗ Not required</t>
        </is>
      </c>
      <c r="G7" s="99" t="inlineStr">
        <is>
          <t>✗ Not required</t>
        </is>
      </c>
      <c r="H7" s="99" t="inlineStr">
        <is>
          <t>Tier D only</t>
        </is>
      </c>
      <c r="I7" s="99" t="inlineStr">
        <is>
          <t>4 hrs</t>
        </is>
      </c>
      <c r="J7" s="99" t="inlineStr">
        <is>
          <t>0.5</t>
        </is>
      </c>
      <c r="K7" s="99" t="inlineStr">
        <is>
          <t>Risk Owner
(post-facto CRO)</t>
        </is>
      </c>
      <c r="L7" s="98" t="n"/>
    </row>
    <row r="9" ht="19.5" customHeight="1" s="57">
      <c r="A9" s="100" t="inlineStr">
        <is>
          <t xml:space="preserve">  TEST LIBRARY — TIER DEFINITIONS AND MINIMUM REQUIREMENTS</t>
        </is>
      </c>
    </row>
    <row r="10" ht="27.75" customHeight="1" s="57">
      <c r="A10" s="101" t="inlineStr">
        <is>
          <t>Tier</t>
        </is>
      </c>
      <c r="B10" s="101" t="inlineStr">
        <is>
          <t>Name</t>
        </is>
      </c>
      <c r="C10" s="101" t="inlineStr">
        <is>
          <t>Description</t>
        </is>
      </c>
      <c r="D10" s="101" t="inlineStr">
        <is>
          <t>Min Cases
Per Domain</t>
        </is>
      </c>
      <c r="E10" s="101" t="inlineStr">
        <is>
          <t>Run Frequency</t>
        </is>
      </c>
      <c r="F10" s="101" t="inlineStr">
        <is>
          <t>Never
Removed?</t>
        </is>
      </c>
      <c r="G10" s="101" t="inlineStr">
        <is>
          <t>Who Creates</t>
        </is>
      </c>
      <c r="H10" s="101" t="inlineStr">
        <is>
          <t>Failure
Tolerance</t>
        </is>
      </c>
      <c r="I10" s="101" t="inlineStr">
        <is>
          <t>Scope
(Change Class)</t>
        </is>
      </c>
      <c r="J10" s="101" t="inlineStr">
        <is>
          <t>Automated?</t>
        </is>
      </c>
      <c r="K10" s="101" t="inlineStr">
        <is>
          <t>Notes</t>
        </is>
      </c>
      <c r="L10" s="101" t="n"/>
    </row>
    <row r="11" ht="51.75" customHeight="1" s="57">
      <c r="A11" s="102" t="inlineStr">
        <is>
          <t>Tier A</t>
        </is>
      </c>
      <c r="B11" s="103" t="inlineStr">
        <is>
          <t>Critical Path</t>
        </is>
      </c>
      <c r="C11" s="103" t="inlineStr">
        <is>
          <t>20% of transactions representing 80% of business risk or volume</t>
        </is>
      </c>
      <c r="D11" s="104" t="inlineStr">
        <is>
          <t>10</t>
        </is>
      </c>
      <c r="E11" s="104" t="inlineStr">
        <is>
          <t>Every test cycle
(all change classes)</t>
        </is>
      </c>
      <c r="F11" s="85" t="inlineStr">
        <is>
          <t>Yes</t>
        </is>
      </c>
      <c r="G11" s="103" t="inlineStr">
        <is>
          <t>QA lead + domain SME</t>
        </is>
      </c>
      <c r="H11" s="77" t="inlineStr">
        <is>
          <t>Zero</t>
        </is>
      </c>
      <c r="I11" s="104" t="inlineStr">
        <is>
          <t>All classes</t>
        </is>
      </c>
      <c r="J11" s="104" t="inlineStr">
        <is>
          <t>Yes — results in 30 min</t>
        </is>
      </c>
      <c r="K11" s="103" t="n"/>
    </row>
    <row r="12" ht="51.75" customHeight="1" s="57">
      <c r="A12" s="105" t="inlineStr">
        <is>
          <t>Tier B</t>
        </is>
      </c>
      <c r="B12" s="106" t="inlineStr">
        <is>
          <t>Domain Coverage</t>
        </is>
      </c>
      <c r="C12" s="106" t="inlineStr">
        <is>
          <t>Every distinct transaction category mapped to business domain taxonomy. Every category covered regardless of frequency.</t>
        </is>
      </c>
      <c r="D12" s="107" t="inlineStr">
        <is>
          <t>5 minimum</t>
        </is>
      </c>
      <c r="E12" s="107" t="inlineStr">
        <is>
          <t>Class 1, 2, 3</t>
        </is>
      </c>
      <c r="F12" s="85" t="inlineStr">
        <is>
          <t>Yes</t>
        </is>
      </c>
      <c r="G12" s="106" t="inlineStr">
        <is>
          <t>Domain SME + QA</t>
        </is>
      </c>
      <c r="H12" s="77" t="inlineStr">
        <is>
          <t>Zero for Blockers</t>
        </is>
      </c>
      <c r="I12" s="107" t="inlineStr">
        <is>
          <t>Class 1, 2, 3</t>
        </is>
      </c>
      <c r="J12" s="107" t="inlineStr">
        <is>
          <t>Yes</t>
        </is>
      </c>
      <c r="K12" s="106" t="n"/>
    </row>
    <row r="13" ht="51.75" customHeight="1" s="57">
      <c r="A13" s="102" t="inlineStr">
        <is>
          <t>Tier C</t>
        </is>
      </c>
      <c r="B13" s="103" t="inlineStr">
        <is>
          <t>Edge Cases &amp; Boundaries</t>
        </is>
      </c>
      <c r="C13" s="103" t="inlineStr">
        <is>
          <t>Previously failed transactions, decision boundary cases, rare but legitimate combinations, multi-procedure claims, unusual inputs.</t>
        </is>
      </c>
      <c r="D13" s="104" t="inlineStr">
        <is>
          <t>3 minimum</t>
        </is>
      </c>
      <c r="E13" s="104" t="inlineStr">
        <is>
          <t>Class 1, 2, 3</t>
        </is>
      </c>
      <c r="F13" s="85" t="inlineStr">
        <is>
          <t>Yes — NEVER deleted</t>
        </is>
      </c>
      <c r="G13" s="103" t="inlineStr">
        <is>
          <t>Incident response pipeline
(auto-added within 5 days)</t>
        </is>
      </c>
      <c r="H13" s="77" t="inlineStr">
        <is>
          <t>Zero</t>
        </is>
      </c>
      <c r="I13" s="104" t="inlineStr">
        <is>
          <t>Class 1, 2, 3</t>
        </is>
      </c>
      <c r="J13" s="104" t="inlineStr">
        <is>
          <t>Yes</t>
        </is>
      </c>
      <c r="K13" s="103" t="n"/>
    </row>
    <row r="14" ht="51.75" customHeight="1" s="57">
      <c r="A14" s="105" t="inlineStr">
        <is>
          <t>Tier D</t>
        </is>
      </c>
      <c r="B14" s="106" t="inlineStr">
        <is>
          <t>Adversarial &amp; Regression</t>
        </is>
      </c>
      <c r="C14" s="106" t="inlineStr">
        <is>
          <t>Every historical production incident. Every bug fixed in production. Attempts to manipulate via unusual input formatting.</t>
        </is>
      </c>
      <c r="D14" s="107" t="inlineStr">
        <is>
          <t>1 per incident</t>
        </is>
      </c>
      <c r="E14" s="107" t="inlineStr">
        <is>
          <t>Class 1, 2 + hotfix</t>
        </is>
      </c>
      <c r="F14" s="85" t="inlineStr">
        <is>
          <t>Yes — append only</t>
        </is>
      </c>
      <c r="G14" s="106" t="inlineStr">
        <is>
          <t>Post-incident process
(mandatory within 5 days)</t>
        </is>
      </c>
      <c r="H14" s="77" t="inlineStr">
        <is>
          <t>Zero — single regression failure blocks upgrade</t>
        </is>
      </c>
      <c r="I14" s="107" t="inlineStr">
        <is>
          <t>Class 1, 2, Hotfix</t>
        </is>
      </c>
      <c r="J14" s="107" t="inlineStr">
        <is>
          <t>Yes</t>
        </is>
      </c>
      <c r="K14" s="106" t="n"/>
    </row>
  </sheetData>
  <mergeCells count="3">
    <mergeCell ref="A2:L2"/>
    <mergeCell ref="A1:L1"/>
    <mergeCell ref="A9:L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56" min="1" max="1"/>
    <col width="18" customWidth="1" style="56" min="2" max="3"/>
    <col width="8" customWidth="1" style="56" min="4" max="4"/>
    <col width="10" customWidth="1" style="56" min="5" max="10"/>
    <col width="16" customWidth="1" style="56" min="11" max="11"/>
    <col width="12" customWidth="1" style="56" min="12" max="12"/>
    <col width="14" customWidth="1" style="56" min="13" max="13"/>
    <col width="18" customWidth="1" style="56" min="14" max="14"/>
  </cols>
  <sheetData>
    <row r="1" ht="31.5" customHeight="1" s="57">
      <c r="A1" s="75" t="inlineStr">
        <is>
          <t>AI Portfolio Capacity Register — Bandwidth Utilisation &amp; Deployment Queue</t>
        </is>
      </c>
    </row>
    <row r="2" ht="18" customHeight="1" s="57">
      <c r="A2" s="76" t="inlineStr">
        <is>
          <t>Red line: 70% total utilisation. Optimal ceiling: 50%. 20% buffer must remain unallocated at all times. No new deployments approved above red line without CEO sign-off.</t>
        </is>
      </c>
    </row>
    <row r="3" ht="15.75" customHeight="1" s="57">
      <c r="A3" s="108" t="inlineStr">
        <is>
          <t xml:space="preserve">  BANDWIDTH SCORING GUIDE: Score each component 1–5. Sum = project bandwidth weight. Total portfolio utilisation = SUM(all weights) ÷ max capacity × 100%</t>
        </is>
      </c>
    </row>
    <row r="4" ht="42" customHeight="1" s="57">
      <c r="A4" s="61" t="inlineStr">
        <is>
          <t>Project /
Agent Name</t>
        </is>
      </c>
      <c r="B4" s="61" t="inlineStr">
        <is>
          <t>Business Domain</t>
        </is>
      </c>
      <c r="C4" s="61" t="inlineStr">
        <is>
          <t>Foundation
Model (Pinned)</t>
        </is>
      </c>
      <c r="D4" s="61" t="inlineStr">
        <is>
          <t>Agent
Tier</t>
        </is>
      </c>
      <c r="E4" s="61" t="inlineStr">
        <is>
          <t>Transaction
Volume Score
(1–5)</t>
        </is>
      </c>
      <c r="F4" s="61" t="inlineStr">
        <is>
          <t>Model Change
Frequency Score
(1–5)</t>
        </is>
      </c>
      <c r="G4" s="61" t="inlineStr">
        <is>
          <t>Regulatory
Exposure Score
(1–5)</t>
        </is>
      </c>
      <c r="H4" s="61" t="inlineStr">
        <is>
          <t>Agent Autonomy
Score
(1–5)</t>
        </is>
      </c>
      <c r="I4" s="61" t="inlineStr">
        <is>
          <t>Test Library
Size Score
(1–5)</t>
        </is>
      </c>
      <c r="J4" s="61" t="inlineStr">
        <is>
          <t>Total
Bandwidth
Weight</t>
        </is>
      </c>
      <c r="K4" s="61" t="inlineStr">
        <is>
          <t>Lifecycle
Stage</t>
        </is>
      </c>
      <c r="L4" s="61" t="inlineStr">
        <is>
          <t>Go-Live
Date</t>
        </is>
      </c>
      <c r="M4" s="61" t="inlineStr">
        <is>
          <t>Next Change
Window</t>
        </is>
      </c>
      <c r="N4" s="61" t="inlineStr">
        <is>
          <t>Risk Owner</t>
        </is>
      </c>
    </row>
    <row r="5" ht="36" customHeight="1" s="57">
      <c r="A5" s="64" t="inlineStr">
        <is>
          <t>Dental Claims Agent</t>
        </is>
      </c>
      <c r="B5" s="64" t="inlineStr">
        <is>
          <t>Insurance — BFSI</t>
        </is>
      </c>
      <c r="C5" s="64" t="inlineStr">
        <is>
          <t>claude-3-5-sonnet-20241022</t>
        </is>
      </c>
      <c r="D5" s="62" t="inlineStr">
        <is>
          <t>1</t>
        </is>
      </c>
      <c r="E5" s="62" t="inlineStr">
        <is>
          <t>4</t>
        </is>
      </c>
      <c r="F5" s="62" t="inlineStr">
        <is>
          <t>3</t>
        </is>
      </c>
      <c r="G5" s="62" t="inlineStr">
        <is>
          <t>5</t>
        </is>
      </c>
      <c r="H5" s="62" t="inlineStr">
        <is>
          <t>4</t>
        </is>
      </c>
      <c r="I5" s="62" t="inlineStr">
        <is>
          <t>3</t>
        </is>
      </c>
      <c r="J5" s="109">
        <f>E6+F6+G6+H6+I6</f>
        <v/>
      </c>
      <c r="K5" s="62" t="inlineStr">
        <is>
          <t>Active — monitoring</t>
        </is>
      </c>
      <c r="L5" s="62" t="inlineStr">
        <is>
          <t>2024-06-01</t>
        </is>
      </c>
      <c r="M5" s="62" t="inlineStr">
        <is>
          <t>2025-03-15</t>
        </is>
      </c>
      <c r="N5" s="64" t="inlineStr">
        <is>
          <t>J. Smith</t>
        </is>
      </c>
    </row>
    <row r="6" ht="36" customHeight="1" s="57">
      <c r="A6" s="67" t="inlineStr">
        <is>
          <t>Prior Auth Agent</t>
        </is>
      </c>
      <c r="B6" s="67" t="inlineStr">
        <is>
          <t>Healthcare — BFSI</t>
        </is>
      </c>
      <c r="C6" s="67" t="inlineStr">
        <is>
          <t>gpt-4o-2024-08-06</t>
        </is>
      </c>
      <c r="D6" s="65" t="inlineStr">
        <is>
          <t>1</t>
        </is>
      </c>
      <c r="E6" s="65" t="inlineStr">
        <is>
          <t>3</t>
        </is>
      </c>
      <c r="F6" s="65" t="inlineStr">
        <is>
          <t>4</t>
        </is>
      </c>
      <c r="G6" s="65" t="inlineStr">
        <is>
          <t>5</t>
        </is>
      </c>
      <c r="H6" s="65" t="inlineStr">
        <is>
          <t>3</t>
        </is>
      </c>
      <c r="I6" s="65" t="inlineStr">
        <is>
          <t>2</t>
        </is>
      </c>
      <c r="J6" s="110">
        <f>E7+F7+G7+H7+I7</f>
        <v/>
      </c>
      <c r="K6" s="65" t="inlineStr">
        <is>
          <t>Stabilisation</t>
        </is>
      </c>
      <c r="L6" s="65" t="inlineStr">
        <is>
          <t>2024-09-15</t>
        </is>
      </c>
      <c r="M6" s="65" t="inlineStr">
        <is>
          <t>2025-04-01</t>
        </is>
      </c>
      <c r="N6" s="67" t="inlineStr">
        <is>
          <t>M. Patel</t>
        </is>
      </c>
    </row>
    <row r="7" ht="36" customHeight="1" s="57">
      <c r="A7" s="64" t="inlineStr">
        <is>
          <t>Provider Credentialing</t>
        </is>
      </c>
      <c r="B7" s="64" t="inlineStr">
        <is>
          <t>Healthcare — BFSI</t>
        </is>
      </c>
      <c r="C7" s="64" t="inlineStr">
        <is>
          <t>claude-3-5-haiku-20241022</t>
        </is>
      </c>
      <c r="D7" s="62" t="inlineStr">
        <is>
          <t>2</t>
        </is>
      </c>
      <c r="E7" s="62" t="inlineStr">
        <is>
          <t>2</t>
        </is>
      </c>
      <c r="F7" s="62" t="inlineStr">
        <is>
          <t>3</t>
        </is>
      </c>
      <c r="G7" s="62" t="inlineStr">
        <is>
          <t>3</t>
        </is>
      </c>
      <c r="H7" s="62" t="inlineStr">
        <is>
          <t>2</t>
        </is>
      </c>
      <c r="I7" s="62" t="inlineStr">
        <is>
          <t>2</t>
        </is>
      </c>
      <c r="J7" s="109">
        <f>E8+F8+G8+H8+I8</f>
        <v/>
      </c>
      <c r="K7" s="62" t="inlineStr">
        <is>
          <t>Planning</t>
        </is>
      </c>
      <c r="L7" s="62" t="inlineStr">
        <is>
          <t>TBC</t>
        </is>
      </c>
      <c r="M7" s="62" t="inlineStr">
        <is>
          <t>TBC</t>
        </is>
      </c>
      <c r="N7" s="64" t="inlineStr">
        <is>
          <t>R. Lee</t>
        </is>
      </c>
    </row>
    <row r="8" ht="36" customHeight="1" s="57">
      <c r="A8" s="67" t="n"/>
      <c r="B8" s="67" t="n"/>
      <c r="C8" s="67" t="n"/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7" t="n"/>
    </row>
    <row r="9" ht="36" customHeight="1" s="57">
      <c r="A9" s="64" t="n"/>
      <c r="B9" s="64" t="n"/>
      <c r="C9" s="64" t="n"/>
      <c r="D9" s="62" t="n"/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64" t="n"/>
    </row>
    <row r="11" ht="19.5" customHeight="1" s="57">
      <c r="A11" s="82" t="inlineStr">
        <is>
          <t>PORTFOLIO SUMMARY METRICS</t>
        </is>
      </c>
    </row>
    <row r="12" ht="21.75" customHeight="1" s="57">
      <c r="A12" s="111" t="inlineStr">
        <is>
          <t>Total active agents</t>
        </is>
      </c>
      <c r="B12" s="112">
        <f>COUNTIF(K5:K9,"Active — monitoring")+COUNTIF(K5:K9,"Stabilisation")</f>
        <v/>
      </c>
    </row>
    <row r="13" ht="21.75" customHeight="1" s="57">
      <c r="A13" s="113" t="inlineStr">
        <is>
          <t>Total bandwidth consumed</t>
        </is>
      </c>
      <c r="B13" s="114">
        <f>SUM(J5:J9)</f>
        <v/>
      </c>
    </row>
    <row r="14" ht="21.75" customHeight="1" s="57">
      <c r="A14" s="111" t="inlineStr">
        <is>
          <t>Max governance capacity (set manually)</t>
        </is>
      </c>
      <c r="B14" s="112" t="n">
        <v>25</v>
      </c>
    </row>
    <row r="15" ht="21.75" customHeight="1" s="57">
      <c r="A15" s="113" t="inlineStr">
        <is>
          <t>Current utilisation %</t>
        </is>
      </c>
      <c r="B15" s="115">
        <f>IF(B14&gt;0,B13/B14,0)</f>
        <v/>
      </c>
    </row>
    <row r="16" ht="21.75" customHeight="1" s="57">
      <c r="A16" s="111" t="inlineStr">
        <is>
          <t>Status vs red line (70%)</t>
        </is>
      </c>
      <c r="B16" s="112">
        <f>IF(B15&gt;0.7,"RED — Above limit",IF(B15&gt;0.5,"AMBER — Monitor","GREEN — Optimal"))</f>
        <v/>
      </c>
    </row>
    <row r="17" ht="21.75" customHeight="1" s="57">
      <c r="A17" s="113" t="inlineStr">
        <is>
          <t>Deployments in planning queue</t>
        </is>
      </c>
      <c r="B17" s="114">
        <f>COUNTIF(K5:K9,"Planning")+COUNTIF(K5:K9,"Qualification")</f>
        <v/>
      </c>
    </row>
  </sheetData>
  <autoFilter ref="A4:N10"/>
  <mergeCells count="4">
    <mergeCell ref="A1:N1"/>
    <mergeCell ref="A3:N3"/>
    <mergeCell ref="A2:N2"/>
    <mergeCell ref="A11:D11"/>
  </mergeCells>
  <dataValidations count="2">
    <dataValidation sqref="K5:K9" showDropDown="0" showInputMessage="0" showErrorMessage="0" allowBlank="1" type="list" errorStyle="stop" operator="between">
      <formula1>"Planning,Qualification,Architecture Approval,Build,Stabilisation,Active — monitoring,Change Cycle,Incident Response,Decommissioned"</formula1>
      <formula2>0</formula2>
    </dataValidation>
    <dataValidation sqref="D5:D9" showDropDown="0" showInputMessage="0" showErrorMessage="0" allowBlank="1" type="list" errorStyle="stop" operator="between">
      <formula1>"1,2,3"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6" min="1" max="1"/>
    <col width="22" customWidth="1" style="56" min="2" max="2"/>
    <col width="16" customWidth="1" style="56" min="3" max="3"/>
    <col width="28" customWidth="1" style="56" min="4" max="4"/>
    <col width="12" customWidth="1" style="56" min="5" max="5"/>
    <col width="16" customWidth="1" style="56" min="6" max="6"/>
    <col width="14" customWidth="1" style="56" min="7" max="7"/>
    <col width="32" customWidth="1" style="56" min="8" max="8"/>
    <col width="28" customWidth="1" style="56" min="9" max="9"/>
    <col width="16" customWidth="1" style="56" min="10" max="10"/>
    <col width="12" customWidth="1" style="56" min="11" max="11"/>
    <col width="14" customWidth="1" style="56" min="12" max="12"/>
    <col width="22" customWidth="1" style="56" min="13" max="13"/>
  </cols>
  <sheetData>
    <row r="1" ht="31.5" customHeight="1" s="57">
      <c r="A1" s="75" t="inlineStr">
        <is>
          <t>AI Review Board — Decision Log &amp; Approval Register</t>
        </is>
      </c>
    </row>
    <row r="2" ht="18" customHeight="1" s="57">
      <c r="A2" s="76" t="inlineStr">
        <is>
          <t>Permanent audit trail of all AI implementation requests reviewed by the board. Every decision is logged regardless of outcome. Records retained for 7 years minimum.</t>
        </is>
      </c>
    </row>
    <row r="3" ht="36" customHeight="1" s="57">
      <c r="A3" s="61" t="inlineStr">
        <is>
          <t>Request
Ref</t>
        </is>
      </c>
      <c r="B3" s="61" t="inlineStr">
        <is>
          <t>Project Name</t>
        </is>
      </c>
      <c r="C3" s="61" t="inlineStr">
        <is>
          <t>Business Domain</t>
        </is>
      </c>
      <c r="D3" s="61" t="inlineStr">
        <is>
          <t>Requested
Implementation</t>
        </is>
      </c>
      <c r="E3" s="61" t="inlineStr">
        <is>
          <t>Date
Submitted</t>
        </is>
      </c>
      <c r="F3" s="61" t="inlineStr">
        <is>
          <t>Qualification
Checklist Ref</t>
        </is>
      </c>
      <c r="G3" s="61" t="inlineStr">
        <is>
          <t>Board
Decision</t>
        </is>
      </c>
      <c r="H3" s="61" t="inlineStr">
        <is>
          <t>Decision
Rationale</t>
        </is>
      </c>
      <c r="I3" s="61" t="inlineStr">
        <is>
          <t>Conditions /
Remediation Required</t>
        </is>
      </c>
      <c r="J3" s="61" t="inlineStr">
        <is>
          <t>Review
Board Chair</t>
        </is>
      </c>
      <c r="K3" s="61" t="inlineStr">
        <is>
          <t>Decision
Date</t>
        </is>
      </c>
      <c r="L3" s="61" t="inlineStr">
        <is>
          <t>Re-review
Date (if req.)</t>
        </is>
      </c>
      <c r="M3" s="61" t="inlineStr">
        <is>
          <t>Notes</t>
        </is>
      </c>
    </row>
    <row r="4" ht="60" customHeight="1" s="57">
      <c r="A4" s="62" t="inlineStr">
        <is>
          <t>AIR-001</t>
        </is>
      </c>
      <c r="B4" s="64" t="inlineStr">
        <is>
          <t>Dental Claims Processing</t>
        </is>
      </c>
      <c r="C4" s="64" t="inlineStr">
        <is>
          <t>Insurance — BFSI</t>
        </is>
      </c>
      <c r="D4" s="64" t="inlineStr">
        <is>
          <t>Agentic AI — end-to-end claim processing</t>
        </is>
      </c>
      <c r="E4" s="62" t="inlineStr">
        <is>
          <t>2024-03-01</t>
        </is>
      </c>
      <c r="F4" s="62" t="inlineStr">
        <is>
          <t>QC-001</t>
        </is>
      </c>
      <c r="G4" s="81" t="inlineStr">
        <is>
          <t>Approved with Conditions</t>
        </is>
      </c>
      <c r="H4" s="64" t="inlineStr">
        <is>
          <t>Cognitive interpretation of multi-diagnosis claims justified. Agent scope must exclude deterministic frequency limit checks (redirect to rule engine).</t>
        </is>
      </c>
      <c r="I4" s="64" t="inlineStr">
        <is>
          <t>1. Remove D0274 frequency check to rule pre-filter. 2. Full test library built before go-live. 3. 90-day stabilisation enforced.</t>
        </is>
      </c>
      <c r="J4" s="62" t="inlineStr">
        <is>
          <t>R. Ramadasan</t>
        </is>
      </c>
      <c r="K4" s="62" t="inlineStr">
        <is>
          <t>2024-03-11</t>
        </is>
      </c>
      <c r="L4" s="62" t="inlineStr">
        <is>
          <t>2024-09-01</t>
        </is>
      </c>
      <c r="M4" s="64" t="n"/>
    </row>
    <row r="5" ht="60" customHeight="1" s="57">
      <c r="A5" s="65" t="inlineStr">
        <is>
          <t>AIR-002</t>
        </is>
      </c>
      <c r="B5" s="67" t="inlineStr">
        <is>
          <t>Premium Calculation Engine</t>
        </is>
      </c>
      <c r="C5" s="67" t="inlineStr">
        <is>
          <t>Insurance — BFSI</t>
        </is>
      </c>
      <c r="D5" s="67" t="inlineStr">
        <is>
          <t>AI model for premium calculation</t>
        </is>
      </c>
      <c r="E5" s="65" t="inlineStr">
        <is>
          <t>2024-05-10</t>
        </is>
      </c>
      <c r="F5" s="65" t="inlineStr">
        <is>
          <t>QC-002</t>
        </is>
      </c>
      <c r="G5" s="77" t="inlineStr">
        <is>
          <t>Redirected to Formula/RPA</t>
        </is>
      </c>
      <c r="H5" s="67" t="inlineStr">
        <is>
          <t>Premium calculation is deterministic — base rate × risk factor × age bracket. Formula produces correct result for 100% of cases. AI adds governance cost with zero capability benefit.</t>
        </is>
      </c>
      <c r="I5" s="67" t="inlineStr">
        <is>
          <t>Implement actuarial formula engine. Re-submit if genuinely ambiguous cases identified with evidence.</t>
        </is>
      </c>
      <c r="J5" s="65" t="inlineStr">
        <is>
          <t>R. Ramadasan</t>
        </is>
      </c>
      <c r="K5" s="65" t="inlineStr">
        <is>
          <t>2024-05-20</t>
        </is>
      </c>
      <c r="L5" s="65" t="n"/>
      <c r="M5" s="67" t="inlineStr">
        <is>
          <t>Classic formula-not-AI case</t>
        </is>
      </c>
    </row>
    <row r="6" ht="60" customHeight="1" s="57">
      <c r="A6" s="62" t="inlineStr">
        <is>
          <t>AIR-003</t>
        </is>
      </c>
      <c r="B6" s="64" t="inlineStr">
        <is>
          <t>Provider Credentialing Agent</t>
        </is>
      </c>
      <c r="C6" s="64" t="inlineStr">
        <is>
          <t>Healthcare — BFSI</t>
        </is>
      </c>
      <c r="D6" s="64" t="inlineStr">
        <is>
          <t>Agentic AI — credential verification</t>
        </is>
      </c>
      <c r="E6" s="62" t="inlineStr">
        <is>
          <t>2024-07-15</t>
        </is>
      </c>
      <c r="F6" s="62" t="inlineStr">
        <is>
          <t>QC-003</t>
        </is>
      </c>
      <c r="G6" s="116" t="inlineStr">
        <is>
          <t>Queued — Capacity</t>
        </is>
      </c>
      <c r="H6" s="64" t="inlineStr">
        <is>
          <t>Use case qualifies for AI. Portfolio at 68% utilisation — above optimal ceiling. Dental claims agent in stabilisation period. Queue until Q4 capacity review.</t>
        </is>
      </c>
      <c r="I6" s="64" t="inlineStr">
        <is>
          <t>Revisit at Q4 portfolio review. Governance team confirms capacity before architecture approval.</t>
        </is>
      </c>
      <c r="J6" s="62" t="inlineStr">
        <is>
          <t>R. Ramadasan</t>
        </is>
      </c>
      <c r="K6" s="62" t="inlineStr">
        <is>
          <t>2024-07-25</t>
        </is>
      </c>
      <c r="L6" s="62" t="inlineStr">
        <is>
          <t>2024-10-01</t>
        </is>
      </c>
      <c r="M6" s="64" t="n"/>
    </row>
    <row r="7" ht="49.5" customHeight="1" s="57">
      <c r="A7" s="117" t="n"/>
      <c r="B7" s="117" t="n"/>
      <c r="C7" s="117" t="n"/>
      <c r="D7" s="117" t="n"/>
      <c r="E7" s="117" t="n"/>
      <c r="F7" s="117" t="n"/>
      <c r="G7" s="117" t="n"/>
      <c r="H7" s="117" t="n"/>
      <c r="I7" s="117" t="n"/>
      <c r="J7" s="117" t="n"/>
      <c r="K7" s="117" t="n"/>
      <c r="L7" s="117" t="n"/>
      <c r="M7" s="117" t="n"/>
    </row>
    <row r="8" ht="49.5" customHeight="1" s="57">
      <c r="A8" s="118" t="n"/>
      <c r="B8" s="118" t="n"/>
      <c r="C8" s="118" t="n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</row>
    <row r="9" ht="49.5" customHeight="1" s="57">
      <c r="A9" s="117" t="n"/>
      <c r="B9" s="117" t="n"/>
      <c r="C9" s="117" t="n"/>
      <c r="D9" s="117" t="n"/>
      <c r="E9" s="117" t="n"/>
      <c r="F9" s="117" t="n"/>
      <c r="G9" s="117" t="n"/>
      <c r="H9" s="117" t="n"/>
      <c r="I9" s="117" t="n"/>
      <c r="J9" s="117" t="n"/>
      <c r="K9" s="117" t="n"/>
      <c r="L9" s="117" t="n"/>
      <c r="M9" s="117" t="n"/>
    </row>
    <row r="10" ht="49.5" customHeight="1" s="57">
      <c r="A10" s="118" t="n"/>
      <c r="B10" s="118" t="n"/>
      <c r="C10" s="118" t="n"/>
      <c r="D10" s="118" t="n"/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</row>
    <row r="11" ht="49.5" customHeight="1" s="57">
      <c r="A11" s="117" t="n"/>
      <c r="B11" s="117" t="n"/>
      <c r="C11" s="117" t="n"/>
      <c r="D11" s="117" t="n"/>
      <c r="E11" s="117" t="n"/>
      <c r="F11" s="117" t="n"/>
      <c r="G11" s="117" t="n"/>
      <c r="H11" s="117" t="n"/>
      <c r="I11" s="117" t="n"/>
      <c r="J11" s="117" t="n"/>
      <c r="K11" s="117" t="n"/>
      <c r="L11" s="117" t="n"/>
      <c r="M11" s="117" t="n"/>
    </row>
    <row r="12" ht="49.5" customHeight="1" s="57">
      <c r="A12" s="118" t="n"/>
      <c r="B12" s="118" t="n"/>
      <c r="C12" s="118" t="n"/>
      <c r="D12" s="118" t="n"/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</row>
    <row r="13" ht="49.5" customHeight="1" s="57">
      <c r="A13" s="117" t="n"/>
      <c r="B13" s="117" t="n"/>
      <c r="C13" s="117" t="n"/>
      <c r="D13" s="117" t="n"/>
      <c r="E13" s="117" t="n"/>
      <c r="F13" s="117" t="n"/>
      <c r="G13" s="117" t="n"/>
      <c r="H13" s="117" t="n"/>
      <c r="I13" s="117" t="n"/>
      <c r="J13" s="117" t="n"/>
      <c r="K13" s="117" t="n"/>
      <c r="L13" s="117" t="n"/>
      <c r="M13" s="117" t="n"/>
    </row>
  </sheetData>
  <autoFilter ref="A3:M13"/>
  <mergeCells count="2">
    <mergeCell ref="A2:M2"/>
    <mergeCell ref="A1:M1"/>
  </mergeCells>
  <dataValidations count="1">
    <dataValidation sqref="G4:G13" showDropDown="0" showInputMessage="0" showErrorMessage="0" allowBlank="1" type="list" errorStyle="stop" operator="between">
      <formula1>"Approved,Approved with Conditions,Redirected to Formula/RPA,Queued — Capacity,Not Approved — Governance Gap,Not Approved — Wrong Tool,Pending Review"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57" min="1" max="1"/>
    <col width="28" customWidth="1" style="57" min="2" max="2"/>
    <col width="22" customWidth="1" style="57" min="3" max="3"/>
    <col width="22" customWidth="1" style="57" min="4" max="4"/>
    <col width="24" customWidth="1" style="57" min="5" max="5"/>
    <col width="16" customWidth="1" style="57" min="6" max="6"/>
    <col width="12" customWidth="1" style="57" min="7" max="7"/>
    <col width="18" customWidth="1" style="57" min="8" max="8"/>
    <col width="14" customWidth="1" style="57" min="9" max="9"/>
    <col width="14" customWidth="1" style="57" min="10" max="10"/>
    <col width="14" customWidth="1" style="57" min="11" max="11"/>
  </cols>
  <sheetData>
    <row r="1">
      <c r="A1" s="119" t="inlineStr">
        <is>
          <t>AI System Register — Master Ledger (Required by ISO 42001 &amp; EU AI Act)</t>
        </is>
      </c>
    </row>
    <row r="2">
      <c r="A2" s="120" t="inlineStr">
        <is>
          <t>Every deployed AI system must have an active register entry. This is the single source of truth for audit, incident response, and governance reviews.</t>
        </is>
      </c>
    </row>
    <row r="3" ht="42" customHeight="1" s="57">
      <c r="A3" s="121" t="inlineStr">
        <is>
          <t>Asset ID</t>
        </is>
      </c>
      <c r="B3" s="121" t="inlineStr">
        <is>
          <t>Agent / System Name</t>
        </is>
      </c>
      <c r="C3" s="121" t="inlineStr">
        <is>
          <t>Business Owner</t>
        </is>
      </c>
      <c r="D3" s="121" t="inlineStr">
        <is>
          <t>Technical Owner</t>
        </is>
      </c>
      <c r="E3" s="121" t="inlineStr">
        <is>
          <t>Base Model (Pinned Version)</t>
        </is>
      </c>
      <c r="F3" s="121" t="inlineStr">
        <is>
          <t>Autonomy Pattern
(A/B/C/D)</t>
        </is>
      </c>
      <c r="G3" s="121" t="inlineStr">
        <is>
          <t>Board Risk
Tier (0–4)</t>
        </is>
      </c>
      <c r="H3" s="121" t="inlineStr">
        <is>
          <t>Data Classification</t>
        </is>
      </c>
      <c r="I3" s="121" t="inlineStr">
        <is>
          <t>Last Review Date</t>
        </is>
      </c>
      <c r="J3" s="121" t="inlineStr">
        <is>
          <t>Next Review Date</t>
        </is>
      </c>
      <c r="K3" s="121" t="inlineStr">
        <is>
          <t>System Status</t>
        </is>
      </c>
    </row>
    <row r="4">
      <c r="A4" s="122" t="inlineStr">
        <is>
          <t>AI-001</t>
        </is>
      </c>
      <c r="B4" s="122" t="inlineStr">
        <is>
          <t>Claims Processing Agent</t>
        </is>
      </c>
      <c r="C4" s="122" t="inlineStr">
        <is>
          <t>Jane Smith — Head of Claims</t>
        </is>
      </c>
      <c r="D4" s="122" t="inlineStr">
        <is>
          <t>Dev Team Lead</t>
        </is>
      </c>
      <c r="E4" s="122" t="inlineStr">
        <is>
          <t>gpt-4o-2024-08-06</t>
        </is>
      </c>
      <c r="F4" s="123" t="inlineStr">
        <is>
          <t>C — Autonomous</t>
        </is>
      </c>
      <c r="G4" s="123" t="inlineStr">
        <is>
          <t>Tier 3</t>
        </is>
      </c>
      <c r="H4" s="122" t="inlineStr">
        <is>
          <t>Restricted</t>
        </is>
      </c>
      <c r="I4" s="122" t="inlineStr">
        <is>
          <t>2026-05-01</t>
        </is>
      </c>
      <c r="J4" s="122" t="inlineStr">
        <is>
          <t>2026-08-01</t>
        </is>
      </c>
      <c r="K4" s="124" t="inlineStr">
        <is>
          <t>Active</t>
        </is>
      </c>
    </row>
    <row r="5">
      <c r="A5" s="125" t="inlineStr">
        <is>
          <t>AI-002</t>
        </is>
      </c>
      <c r="B5" s="125" t="inlineStr">
        <is>
          <t>Policy FAQ Assistant</t>
        </is>
      </c>
      <c r="C5" s="125" t="inlineStr">
        <is>
          <t>John Lee — Customer Ops</t>
        </is>
      </c>
      <c r="D5" s="125" t="inlineStr">
        <is>
          <t>Platform Eng</t>
        </is>
      </c>
      <c r="E5" s="125" t="inlineStr">
        <is>
          <t>claude-sonnet-4-6</t>
        </is>
      </c>
      <c r="F5" s="124" t="inlineStr">
        <is>
          <t>A — Advisory</t>
        </is>
      </c>
      <c r="G5" s="126" t="inlineStr">
        <is>
          <t>Tier 0</t>
        </is>
      </c>
      <c r="H5" s="125" t="inlineStr">
        <is>
          <t>Public</t>
        </is>
      </c>
      <c r="I5" s="125" t="inlineStr">
        <is>
          <t>2026-04-15</t>
        </is>
      </c>
      <c r="J5" s="125" t="inlineStr">
        <is>
          <t>2026-10-15</t>
        </is>
      </c>
      <c r="K5" s="124" t="inlineStr">
        <is>
          <t>Active</t>
        </is>
      </c>
    </row>
    <row r="6">
      <c r="A6" s="122" t="inlineStr">
        <is>
          <t>AI-003</t>
        </is>
      </c>
      <c r="B6" s="122" t="inlineStr">
        <is>
          <t>Fraud Detection Agent</t>
        </is>
      </c>
      <c r="C6" s="122" t="inlineStr">
        <is>
          <t>Risk Director</t>
        </is>
      </c>
      <c r="D6" s="122" t="inlineStr">
        <is>
          <t>ML Platform Lead</t>
        </is>
      </c>
      <c r="E6" s="122" t="inlineStr">
        <is>
          <t>llama-3.1-70b</t>
        </is>
      </c>
      <c r="F6" s="123" t="inlineStr">
        <is>
          <t>C — Autonomous</t>
        </is>
      </c>
      <c r="G6" s="80" t="inlineStr">
        <is>
          <t>Tier 4</t>
        </is>
      </c>
      <c r="H6" s="122" t="inlineStr">
        <is>
          <t>Restricted</t>
        </is>
      </c>
      <c r="I6" s="122" t="inlineStr">
        <is>
          <t>2026-05-20</t>
        </is>
      </c>
      <c r="J6" s="122" t="inlineStr">
        <is>
          <t>2026-06-20</t>
        </is>
      </c>
      <c r="K6" s="124" t="inlineStr">
        <is>
          <t>Active</t>
        </is>
      </c>
    </row>
    <row r="7">
      <c r="A7" s="125" t="inlineStr">
        <is>
          <t>AI-004</t>
        </is>
      </c>
      <c r="B7" s="125" t="inlineStr">
        <is>
          <t>Contract Review Assistant</t>
        </is>
      </c>
      <c r="C7" s="125" t="inlineStr">
        <is>
          <t>Legal Ops Manager</t>
        </is>
      </c>
      <c r="D7" s="125" t="inlineStr">
        <is>
          <t>CoE Architect</t>
        </is>
      </c>
      <c r="E7" s="125" t="inlineStr">
        <is>
          <t>claude-sonnet-4-6</t>
        </is>
      </c>
      <c r="F7" s="87" t="inlineStr">
        <is>
          <t>B — Assisted</t>
        </is>
      </c>
      <c r="G7" s="87" t="inlineStr">
        <is>
          <t>Tier 2</t>
        </is>
      </c>
      <c r="H7" s="125" t="inlineStr">
        <is>
          <t>Confidential</t>
        </is>
      </c>
      <c r="I7" s="125" t="inlineStr">
        <is>
          <t>2026-03-01</t>
        </is>
      </c>
      <c r="J7" s="125" t="inlineStr">
        <is>
          <t>2026-09-01</t>
        </is>
      </c>
      <c r="K7" s="124" t="inlineStr">
        <is>
          <t>Active</t>
        </is>
      </c>
    </row>
    <row r="8">
      <c r="A8" s="122" t="inlineStr">
        <is>
          <t>AI-005</t>
        </is>
      </c>
      <c r="B8" s="122" t="inlineStr">
        <is>
          <t>Ledger Reconciliation Agent</t>
        </is>
      </c>
      <c r="C8" s="122" t="inlineStr">
        <is>
          <t>[Enter Name]</t>
        </is>
      </c>
      <c r="D8" s="122" t="inlineStr">
        <is>
          <t>[Enter Name]</t>
        </is>
      </c>
      <c r="E8" s="122" t="inlineStr">
        <is>
          <t>[Enter Model Version]</t>
        </is>
      </c>
      <c r="F8" s="127" t="inlineStr">
        <is>
          <t>D — Agentic</t>
        </is>
      </c>
      <c r="G8" s="80" t="inlineStr">
        <is>
          <t>Tier 4</t>
        </is>
      </c>
      <c r="H8" s="122" t="inlineStr">
        <is>
          <t>Restricted</t>
        </is>
      </c>
      <c r="I8" s="122" t="inlineStr">
        <is>
          <t>[Date]</t>
        </is>
      </c>
      <c r="J8" s="122" t="inlineStr">
        <is>
          <t>[Date]</t>
        </is>
      </c>
      <c r="K8" s="87" t="inlineStr">
        <is>
          <t>Pending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57" min="1" max="1"/>
    <col width="12" customWidth="1" style="57" min="2" max="2"/>
    <col width="18" customWidth="1" style="57" min="3" max="3"/>
    <col width="10" customWidth="1" style="57" min="4" max="4"/>
    <col width="36" customWidth="1" style="57" min="5" max="5"/>
    <col width="22" customWidth="1" style="57" min="6" max="6"/>
    <col width="14" customWidth="1" style="57" min="7" max="7"/>
    <col width="12" customWidth="1" style="57" min="8" max="8"/>
    <col width="36" customWidth="1" style="57" min="9" max="9"/>
    <col width="34" customWidth="1" style="57" min="10" max="10"/>
  </cols>
  <sheetData>
    <row r="1">
      <c r="A1" s="119" t="inlineStr">
        <is>
          <t>AI Incident Registry — Behavioral Defect &amp; Security Incident Tracking (SEV 1–4)</t>
        </is>
      </c>
    </row>
    <row r="2">
      <c r="A2" s="120" t="inlineStr">
        <is>
          <t>SEV 1/2: Kill switch within 5 minutes. RCA must be completed before re-deployment. Every incident produces a permanent Tier D test case within 5 business days.</t>
        </is>
      </c>
    </row>
    <row r="3" ht="36" customHeight="1" s="57">
      <c r="A3" s="121" t="inlineStr">
        <is>
          <t>Incident Ref</t>
        </is>
      </c>
      <c r="B3" s="121" t="inlineStr">
        <is>
          <t>Asset ID Ref</t>
        </is>
      </c>
      <c r="C3" s="121" t="inlineStr">
        <is>
          <t>Discovery Timestamp</t>
        </is>
      </c>
      <c r="D3" s="121" t="inlineStr">
        <is>
          <t>Severity
(SEV 1–4)</t>
        </is>
      </c>
      <c r="E3" s="121" t="inlineStr">
        <is>
          <t>Observed Behavioral Failure</t>
        </is>
      </c>
      <c r="F3" s="121" t="inlineStr">
        <is>
          <t>Root Cause
(Drift/Injection/Poisoning/Logic)</t>
        </is>
      </c>
      <c r="G3" s="121" t="inlineStr">
        <is>
          <t>Financial Impact ($)</t>
        </is>
      </c>
      <c r="H3" s="121" t="inlineStr">
        <is>
          <t>Regulatory
Exposure (Y/N)</t>
        </is>
      </c>
      <c r="I3" s="121" t="inlineStr">
        <is>
          <t>Containment Action Taken</t>
        </is>
      </c>
      <c r="J3" s="121" t="inlineStr">
        <is>
          <t>RCA Status + Risk Owner Sign-off</t>
        </is>
      </c>
    </row>
    <row r="4">
      <c r="A4" s="122" t="inlineStr">
        <is>
          <t>INC-001</t>
        </is>
      </c>
      <c r="B4" s="122" t="inlineStr">
        <is>
          <t>AI-001</t>
        </is>
      </c>
      <c r="C4" s="122" t="inlineStr">
        <is>
          <t>2026-04-12 14:23</t>
        </is>
      </c>
      <c r="D4" s="123" t="inlineStr">
        <is>
          <t>SEV 2</t>
        </is>
      </c>
      <c r="E4" s="122" t="inlineStr">
        <is>
          <t>Claims within D0274 procedure code auto-approved post model upgrade — edge case domain missed in test sample</t>
        </is>
      </c>
      <c r="F4" s="122" t="inlineStr">
        <is>
          <t>Drift</t>
        </is>
      </c>
      <c r="G4" s="122" t="inlineStr">
        <is>
          <t>$48,200</t>
        </is>
      </c>
      <c r="H4" s="80" t="inlineStr">
        <is>
          <t>Y</t>
        </is>
      </c>
      <c r="I4" s="122" t="inlineStr">
        <is>
          <t>Kill switch activated 14:31. Rolled back to gpt-4o-2024-05-13</t>
        </is>
      </c>
      <c r="J4" s="122" t="inlineStr">
        <is>
          <t>Closed — Jane Smith 2026-04-19</t>
        </is>
      </c>
    </row>
    <row r="5">
      <c r="A5" s="125" t="inlineStr">
        <is>
          <t>INC-002</t>
        </is>
      </c>
      <c r="B5" s="125" t="inlineStr">
        <is>
          <t>AI-003</t>
        </is>
      </c>
      <c r="C5" s="125" t="inlineStr">
        <is>
          <t>2026-05-03 09:47</t>
        </is>
      </c>
      <c r="D5" s="87" t="inlineStr">
        <is>
          <t>SEV 3</t>
        </is>
      </c>
      <c r="E5" s="125" t="inlineStr">
        <is>
          <t>Exception queue spike 340% of baseline — confidence dropped below 85% across fraud domain</t>
        </is>
      </c>
      <c r="F5" s="125" t="inlineStr">
        <is>
          <t>Data</t>
        </is>
      </c>
      <c r="G5" s="125" t="inlineStr">
        <is>
          <t>$0</t>
        </is>
      </c>
      <c r="H5" s="125" t="inlineStr">
        <is>
          <t>N</t>
        </is>
      </c>
      <c r="I5" s="125" t="inlineStr">
        <is>
          <t>Auto suspension triggered. HITL capacity expanded. Upstream data schema change identified.</t>
        </is>
      </c>
      <c r="J5" s="125" t="inlineStr">
        <is>
          <t>Closed — Risk Director 2026-05-07</t>
        </is>
      </c>
    </row>
    <row r="6">
      <c r="A6" s="122" t="inlineStr">
        <is>
          <t>INC-003</t>
        </is>
      </c>
      <c r="B6" s="122" t="inlineStr">
        <is>
          <t>AI-005</t>
        </is>
      </c>
      <c r="C6" s="122" t="inlineStr">
        <is>
          <t>2026-06-01 11:15</t>
        </is>
      </c>
      <c r="D6" s="80" t="inlineStr">
        <is>
          <t>SEV 1</t>
        </is>
      </c>
      <c r="E6" s="122" t="inlineStr">
        <is>
          <t>Prompt injection attempt — external API payload contained system prompt override instruction</t>
        </is>
      </c>
      <c r="F6" s="122" t="inlineStr">
        <is>
          <t>Injection</t>
        </is>
      </c>
      <c r="G6" s="122" t="inlineStr">
        <is>
          <t>$0</t>
        </is>
      </c>
      <c r="H6" s="80" t="inlineStr">
        <is>
          <t>Y</t>
        </is>
      </c>
      <c r="I6" s="122" t="inlineStr">
        <is>
          <t>SEC-01 guard model blocked payload. No production impact. Security team notified.</t>
        </is>
      </c>
      <c r="J6" s="122" t="inlineStr">
        <is>
          <t>In-Review — Regulatory notification in progress</t>
        </is>
      </c>
    </row>
    <row r="7">
      <c r="A7" s="125" t="inlineStr">
        <is>
          <t>INC-004</t>
        </is>
      </c>
      <c r="B7" s="125" t="inlineStr">
        <is>
          <t>AI-002</t>
        </is>
      </c>
      <c r="C7" s="125" t="inlineStr">
        <is>
          <t>2026-06-08 08:00</t>
        </is>
      </c>
      <c r="D7" s="124" t="inlineStr">
        <is>
          <t>SEV 4</t>
        </is>
      </c>
      <c r="E7" s="125" t="inlineStr">
        <is>
          <t>Intermittent hallucination in policy FAQ — 3 of 2,400 responses had incorrect deductible figures</t>
        </is>
      </c>
      <c r="F7" s="125" t="inlineStr">
        <is>
          <t>Drift</t>
        </is>
      </c>
      <c r="G7" s="125" t="inlineStr">
        <is>
          <t>$0</t>
        </is>
      </c>
      <c r="H7" s="125" t="inlineStr">
        <is>
          <t>N</t>
        </is>
      </c>
      <c r="I7" s="125" t="inlineStr">
        <is>
          <t>Canary flagged. Responses corrected. Test case added to Tier C library.</t>
        </is>
      </c>
      <c r="J7" s="125" t="inlineStr">
        <is>
          <t>Open — RCA in progress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57" min="1" max="1"/>
    <col width="32" customWidth="1" style="57" min="2" max="2"/>
    <col width="14" customWidth="1" style="57" min="3" max="3"/>
    <col width="14" customWidth="1" style="57" min="4" max="4"/>
    <col width="20" customWidth="1" style="57" min="5" max="5"/>
    <col width="22" customWidth="1" style="57" min="6" max="6"/>
    <col width="16" customWidth="1" style="57" min="7" max="7"/>
    <col width="34" customWidth="1" style="57" min="8" max="8"/>
  </cols>
  <sheetData>
    <row r="1">
      <c r="A1" s="119" t="inlineStr">
        <is>
          <t>Regulatory Control Mapping — ISO 42001 · NIST AI RMF · EU AI Act · OSFI B-13/E-23 · SOC 2</t>
        </is>
      </c>
    </row>
    <row r="2">
      <c r="A2" s="120" t="inlineStr">
        <is>
          <t>Direct mapping of internal controls to regulatory frameworks. Use as primary evidence package during audits. Filter by standard column for framework-specific extracts.</t>
        </is>
      </c>
    </row>
    <row r="3" ht="30" customHeight="1" s="57">
      <c r="A3" s="121" t="inlineStr">
        <is>
          <t>Control ID</t>
        </is>
      </c>
      <c r="B3" s="121" t="inlineStr">
        <is>
          <t>Control Name</t>
        </is>
      </c>
      <c r="C3" s="121" t="inlineStr">
        <is>
          <t>ISO 42001 Clause</t>
        </is>
      </c>
      <c r="D3" s="121" t="inlineStr">
        <is>
          <t>NIST AI RMF</t>
        </is>
      </c>
      <c r="E3" s="121" t="inlineStr">
        <is>
          <t>EU AI Act Article</t>
        </is>
      </c>
      <c r="F3" s="121" t="inlineStr">
        <is>
          <t>OSFI B-13/E-23</t>
        </is>
      </c>
      <c r="G3" s="121" t="inlineStr">
        <is>
          <t>SOC 2 Criteria</t>
        </is>
      </c>
      <c r="H3" s="121" t="inlineStr">
        <is>
          <t>Audit Evidence Required</t>
        </is>
      </c>
    </row>
    <row r="4">
      <c r="A4" s="128" t="inlineStr">
        <is>
          <t xml:space="preserve">  MODEL SOVEREIGNTY</t>
        </is>
      </c>
    </row>
    <row r="5">
      <c r="A5" s="129" t="inlineStr">
        <is>
          <t>G-01</t>
        </is>
      </c>
      <c r="B5" s="125" t="inlineStr">
        <is>
          <t>Version Pinning</t>
        </is>
      </c>
      <c r="C5" s="125" t="inlineStr">
        <is>
          <t>A.8.2</t>
        </is>
      </c>
      <c r="D5" s="125" t="inlineStr">
        <is>
          <t>GOV-3</t>
        </is>
      </c>
      <c r="E5" s="125" t="inlineStr">
        <is>
          <t>Art 15 (Accuracy)</t>
        </is>
      </c>
      <c r="F5" s="125" t="inlineStr">
        <is>
          <t>E-23 Model Integrity</t>
        </is>
      </c>
      <c r="G5" s="125" t="inlineStr">
        <is>
          <t>CC6.1</t>
        </is>
      </c>
      <c r="H5" s="125" t="inlineStr">
        <is>
          <t>API gateway config + pinning evidence</t>
        </is>
      </c>
    </row>
    <row r="6">
      <c r="A6" s="130" t="inlineStr">
        <is>
          <t>G-02</t>
        </is>
      </c>
      <c r="B6" s="122" t="inlineStr">
        <is>
          <t>Vendor Change Notification SLA</t>
        </is>
      </c>
      <c r="C6" s="122" t="inlineStr">
        <is>
          <t>A.8.3</t>
        </is>
      </c>
      <c r="D6" s="122" t="inlineStr">
        <is>
          <t>GOV-4</t>
        </is>
      </c>
      <c r="E6" s="122" t="inlineStr">
        <is>
          <t>Art 9 (Risk Mgmt)</t>
        </is>
      </c>
      <c r="F6" s="122" t="inlineStr">
        <is>
          <t>E-23 Vendor Risk</t>
        </is>
      </c>
      <c r="G6" s="122" t="inlineStr">
        <is>
          <t>CC9.1</t>
        </is>
      </c>
      <c r="H6" s="122" t="inlineStr">
        <is>
          <t>Executed contract clause</t>
        </is>
      </c>
    </row>
    <row r="7">
      <c r="A7" s="129" t="inlineStr">
        <is>
          <t>G-03</t>
        </is>
      </c>
      <c r="B7" s="125" t="inlineStr">
        <is>
          <t>Tested Rollback Capability</t>
        </is>
      </c>
      <c r="C7" s="125" t="inlineStr">
        <is>
          <t>A.8.4</t>
        </is>
      </c>
      <c r="D7" s="125" t="inlineStr">
        <is>
          <t>MANAGE-4</t>
        </is>
      </c>
      <c r="E7" s="125" t="inlineStr">
        <is>
          <t>Art 15 (Robustness)</t>
        </is>
      </c>
      <c r="F7" s="125" t="inlineStr">
        <is>
          <t>B-13 Tech Risk</t>
        </is>
      </c>
      <c r="G7" s="125" t="inlineStr">
        <is>
          <t>CC7.2</t>
        </is>
      </c>
      <c r="H7" s="125" t="inlineStr">
        <is>
          <t>Rollback test record with timestamp</t>
        </is>
      </c>
    </row>
    <row r="8">
      <c r="A8" s="130" t="inlineStr">
        <is>
          <t>G-04</t>
        </is>
      </c>
      <c r="B8" s="122" t="inlineStr">
        <is>
          <t>Open-Weights Evaluation</t>
        </is>
      </c>
      <c r="C8" s="122" t="inlineStr">
        <is>
          <t>A.8.1</t>
        </is>
      </c>
      <c r="D8" s="122" t="inlineStr">
        <is>
          <t>GOV-3</t>
        </is>
      </c>
      <c r="E8" s="122" t="inlineStr">
        <is>
          <t>Art 10 (Data Gov)</t>
        </is>
      </c>
      <c r="F8" s="122" t="inlineStr">
        <is>
          <t>E-23 Model Risk</t>
        </is>
      </c>
      <c r="G8" s="122" t="inlineStr">
        <is>
          <t>CC6.6</t>
        </is>
      </c>
      <c r="H8" s="122" t="inlineStr">
        <is>
          <t>Architecture decision record</t>
        </is>
      </c>
    </row>
    <row r="9">
      <c r="A9" s="128" t="inlineStr">
        <is>
          <t xml:space="preserve">  SECURITY CONTROLS</t>
        </is>
      </c>
    </row>
    <row r="10">
      <c r="A10" s="130" t="inlineStr">
        <is>
          <t>SEC-01</t>
        </is>
      </c>
      <c r="B10" s="122" t="inlineStr">
        <is>
          <t>Prompt Injection Firewall</t>
        </is>
      </c>
      <c r="C10" s="122" t="inlineStr">
        <is>
          <t>A.10.1</t>
        </is>
      </c>
      <c r="D10" s="122" t="inlineStr">
        <is>
          <t>MITIGATE-1</t>
        </is>
      </c>
      <c r="E10" s="122" t="inlineStr">
        <is>
          <t>Art 15 (Cybersecurity)</t>
        </is>
      </c>
      <c r="F10" s="122" t="inlineStr">
        <is>
          <t>B-13 Security</t>
        </is>
      </c>
      <c r="G10" s="122" t="inlineStr">
        <is>
          <t>CC6.7</t>
        </is>
      </c>
      <c r="H10" s="122" t="inlineStr">
        <is>
          <t>Guard model config + injection test log</t>
        </is>
      </c>
    </row>
    <row r="11">
      <c r="A11" s="129" t="inlineStr">
        <is>
          <t>SEC-02</t>
        </is>
      </c>
      <c r="B11" s="125" t="inlineStr">
        <is>
          <t>RAG / Tool Poisoning Controls</t>
        </is>
      </c>
      <c r="C11" s="125" t="inlineStr">
        <is>
          <t>A.10.2</t>
        </is>
      </c>
      <c r="D11" s="125" t="inlineStr">
        <is>
          <t>MITIGATE-2</t>
        </is>
      </c>
      <c r="E11" s="125" t="inlineStr">
        <is>
          <t>Art 15 (Cybersecurity)</t>
        </is>
      </c>
      <c r="F11" s="125" t="inlineStr">
        <is>
          <t>B-13 Security</t>
        </is>
      </c>
      <c r="G11" s="125" t="inlineStr">
        <is>
          <t>CC6.8</t>
        </is>
      </c>
      <c r="H11" s="125" t="inlineStr">
        <is>
          <t>Schema validation + RAG sanitisation test</t>
        </is>
      </c>
    </row>
    <row r="12">
      <c r="A12" s="130" t="inlineStr">
        <is>
          <t>SEC-03</t>
        </is>
      </c>
      <c r="B12" s="122" t="inlineStr">
        <is>
          <t>MCP Governance &amp; Auth</t>
        </is>
      </c>
      <c r="C12" s="122" t="inlineStr">
        <is>
          <t>A.10.6</t>
        </is>
      </c>
      <c r="D12" s="122" t="inlineStr">
        <is>
          <t>MITIGATE-3</t>
        </is>
      </c>
      <c r="E12" s="122" t="inlineStr">
        <is>
          <t>Art 15 (Cybersecurity)</t>
        </is>
      </c>
      <c r="F12" s="122" t="inlineStr">
        <is>
          <t>B-13 Tech Infrastructure</t>
        </is>
      </c>
      <c r="G12" s="122" t="inlineStr">
        <is>
          <t>CC6.1,CC6.2</t>
        </is>
      </c>
      <c r="H12" s="122" t="inlineStr">
        <is>
          <t>MCP auth config + allow-list export</t>
        </is>
      </c>
    </row>
    <row r="13">
      <c r="A13" s="129" t="inlineStr">
        <is>
          <t>SEC-04</t>
        </is>
      </c>
      <c r="B13" s="125" t="inlineStr">
        <is>
          <t>Agent Identity &amp; Exfiltration</t>
        </is>
      </c>
      <c r="C13" s="125" t="inlineStr">
        <is>
          <t>A.10.4</t>
        </is>
      </c>
      <c r="D13" s="125" t="inlineStr">
        <is>
          <t>MITIGATE-1</t>
        </is>
      </c>
      <c r="E13" s="125" t="inlineStr">
        <is>
          <t>Art 15 (Cybersecurity)</t>
        </is>
      </c>
      <c r="F13" s="125" t="inlineStr">
        <is>
          <t>B-13 Cyber Risk</t>
        </is>
      </c>
      <c r="G13" s="125" t="inlineStr">
        <is>
          <t>CC6.3</t>
        </is>
      </c>
      <c r="H13" s="125" t="inlineStr">
        <is>
          <t>Identity token config + outbound filter log</t>
        </is>
      </c>
    </row>
    <row r="14">
      <c r="A14" s="128" t="inlineStr">
        <is>
          <t xml:space="preserve">  CHANGE MANAGEMENT</t>
        </is>
      </c>
    </row>
    <row r="15">
      <c r="A15" s="129" t="inlineStr">
        <is>
          <t>G-05</t>
        </is>
      </c>
      <c r="B15" s="125" t="inlineStr">
        <is>
          <t>Model Change Classification</t>
        </is>
      </c>
      <c r="C15" s="125" t="inlineStr">
        <is>
          <t>A.8.3</t>
        </is>
      </c>
      <c r="D15" s="125" t="inlineStr">
        <is>
          <t>GOV-4</t>
        </is>
      </c>
      <c r="E15" s="125" t="inlineStr">
        <is>
          <t>Art 9 (Risk Mgmt)</t>
        </is>
      </c>
      <c r="F15" s="125" t="inlineStr">
        <is>
          <t>E-23 Model Validation</t>
        </is>
      </c>
      <c r="G15" s="125" t="inlineStr">
        <is>
          <t>CC7.2</t>
        </is>
      </c>
      <c r="H15" s="125" t="inlineStr">
        <is>
          <t>Change classification procedure</t>
        </is>
      </c>
    </row>
    <row r="16">
      <c r="A16" s="130" t="inlineStr">
        <is>
          <t>G-07</t>
        </is>
      </c>
      <c r="B16" s="122" t="inlineStr">
        <is>
          <t>100% Full Library Revalidation</t>
        </is>
      </c>
      <c r="C16" s="122" t="inlineStr">
        <is>
          <t>A.9.1</t>
        </is>
      </c>
      <c r="D16" s="122" t="inlineStr">
        <is>
          <t>MANAGE-2</t>
        </is>
      </c>
      <c r="E16" s="122" t="inlineStr">
        <is>
          <t>Art 9 (Robustness)</t>
        </is>
      </c>
      <c r="F16" s="122" t="inlineStr">
        <is>
          <t>E-23 Testing Standards</t>
        </is>
      </c>
      <c r="G16" s="122" t="inlineStr">
        <is>
          <t>CC7.1</t>
        </is>
      </c>
      <c r="H16" s="122" t="inlineStr">
        <is>
          <t>Validation policy + sign-off record</t>
        </is>
      </c>
    </row>
    <row r="17">
      <c r="A17" s="129" t="inlineStr">
        <is>
          <t>G-08</t>
        </is>
      </c>
      <c r="B17" s="125" t="inlineStr">
        <is>
          <t>72-Hour Parallel Shadow Run</t>
        </is>
      </c>
      <c r="C17" s="125" t="inlineStr">
        <is>
          <t>A.9.2</t>
        </is>
      </c>
      <c r="D17" s="125" t="inlineStr">
        <is>
          <t>MANAGE-3</t>
        </is>
      </c>
      <c r="E17" s="125" t="inlineStr">
        <is>
          <t>Art 15 (Monitoring)</t>
        </is>
      </c>
      <c r="F17" s="125" t="inlineStr">
        <is>
          <t>E-23 Parallel Validation</t>
        </is>
      </c>
      <c r="G17" s="125" t="inlineStr">
        <is>
          <t>CC7.2</t>
        </is>
      </c>
      <c r="H17" s="125" t="inlineStr">
        <is>
          <t>Parallel run report</t>
        </is>
      </c>
    </row>
    <row r="18">
      <c r="A18" s="128" t="inlineStr">
        <is>
          <t xml:space="preserve">  BLAST RADIUS</t>
        </is>
      </c>
    </row>
    <row r="19">
      <c r="A19" s="129" t="inlineStr">
        <is>
          <t>G-15</t>
        </is>
      </c>
      <c r="B19" s="125" t="inlineStr">
        <is>
          <t>Hard Transaction Volume Caps</t>
        </is>
      </c>
      <c r="C19" s="125" t="inlineStr">
        <is>
          <t>A.10.3</t>
        </is>
      </c>
      <c r="D19" s="125" t="inlineStr">
        <is>
          <t>GOV-4</t>
        </is>
      </c>
      <c r="E19" s="125" t="inlineStr">
        <is>
          <t>Art 14 (Human Oversight)</t>
        </is>
      </c>
      <c r="F19" s="125" t="inlineStr">
        <is>
          <t>B-13 Risk Mitigation</t>
        </is>
      </c>
      <c r="G19" s="125" t="inlineStr">
        <is>
          <t>CC9.2</t>
        </is>
      </c>
      <c r="H19" s="125" t="inlineStr">
        <is>
          <t>Integration layer code review</t>
        </is>
      </c>
    </row>
    <row r="20">
      <c r="A20" s="130" t="inlineStr">
        <is>
          <t>G-16</t>
        </is>
      </c>
      <c r="B20" s="122" t="inlineStr">
        <is>
          <t>Automatic Suspension Thresholds</t>
        </is>
      </c>
      <c r="C20" s="122" t="inlineStr">
        <is>
          <t>A.10.3</t>
        </is>
      </c>
      <c r="D20" s="122" t="inlineStr">
        <is>
          <t>MANAGE-2</t>
        </is>
      </c>
      <c r="E20" s="122" t="inlineStr">
        <is>
          <t>Art 14 (Human Oversight)</t>
        </is>
      </c>
      <c r="F20" s="122" t="inlineStr">
        <is>
          <t>B-13 Operational Risk</t>
        </is>
      </c>
      <c r="G20" s="122" t="inlineStr">
        <is>
          <t>CC9.2</t>
        </is>
      </c>
      <c r="H20" s="122" t="inlineStr">
        <is>
          <t>Suspension logic + threshold test</t>
        </is>
      </c>
    </row>
    <row r="21">
      <c r="A21" s="129" t="inlineStr">
        <is>
          <t>G-17</t>
        </is>
      </c>
      <c r="B21" s="125" t="inlineStr">
        <is>
          <t>Tested Kill Switch</t>
        </is>
      </c>
      <c r="C21" s="125" t="inlineStr">
        <is>
          <t>A.10.5</t>
        </is>
      </c>
      <c r="D21" s="125" t="inlineStr">
        <is>
          <t>RESPOND-1</t>
        </is>
      </c>
      <c r="E21" s="125" t="inlineStr">
        <is>
          <t>Art 14 (Human Oversight)</t>
        </is>
      </c>
      <c r="F21" s="125" t="inlineStr">
        <is>
          <t>B-13 Business Continuity</t>
        </is>
      </c>
      <c r="G21" s="125" t="inlineStr">
        <is>
          <t>A1.2</t>
        </is>
      </c>
      <c r="H21" s="125" t="inlineStr">
        <is>
          <t>Kill switch procedure + test record</t>
        </is>
      </c>
    </row>
    <row r="22">
      <c r="A22" s="130" t="inlineStr">
        <is>
          <t>G-18</t>
        </is>
      </c>
      <c r="B22" s="122" t="inlineStr">
        <is>
          <t>Segregation of Duties</t>
        </is>
      </c>
      <c r="C22" s="122" t="inlineStr">
        <is>
          <t>A.6.2</t>
        </is>
      </c>
      <c r="D22" s="122" t="inlineStr">
        <is>
          <t>GOVERN-4</t>
        </is>
      </c>
      <c r="E22" s="122" t="inlineStr">
        <is>
          <t>Art 14 (Human Oversight)</t>
        </is>
      </c>
      <c r="F22" s="122" t="inlineStr">
        <is>
          <t>B-13 Governance</t>
        </is>
      </c>
      <c r="G22" s="122" t="inlineStr">
        <is>
          <t>CC6.3</t>
        </is>
      </c>
      <c r="H22" s="122" t="inlineStr">
        <is>
          <t>Architecture diagram + code review</t>
        </is>
      </c>
    </row>
    <row r="23">
      <c r="A23" s="128" t="inlineStr">
        <is>
          <t xml:space="preserve">  HUMAN-IN-THE-LOOP</t>
        </is>
      </c>
    </row>
    <row r="24">
      <c r="A24" s="130" t="inlineStr">
        <is>
          <t>HITL Matrix</t>
        </is>
      </c>
      <c r="B24" s="122" t="inlineStr">
        <is>
          <t>Confidence-Score Based Routing</t>
        </is>
      </c>
      <c r="C24" s="122" t="inlineStr">
        <is>
          <t>A.6.1,A.8.5</t>
        </is>
      </c>
      <c r="D24" s="122" t="inlineStr">
        <is>
          <t>MAP-3</t>
        </is>
      </c>
      <c r="E24" s="122" t="inlineStr">
        <is>
          <t>Art 14 (Human Oversight)</t>
        </is>
      </c>
      <c r="F24" s="122" t="inlineStr">
        <is>
          <t>E-23 Human Review</t>
        </is>
      </c>
      <c r="G24" s="122" t="inlineStr">
        <is>
          <t>CC9.1</t>
        </is>
      </c>
      <c r="H24" s="122" t="inlineStr">
        <is>
          <t>HITL routing config + exception log</t>
        </is>
      </c>
    </row>
    <row r="25">
      <c r="A25" s="128" t="inlineStr">
        <is>
          <t xml:space="preserve">  ACCOUNTABILITY</t>
        </is>
      </c>
    </row>
    <row r="26">
      <c r="A26" s="130" t="inlineStr">
        <is>
          <t>G-23</t>
        </is>
      </c>
      <c r="B26" s="122" t="inlineStr">
        <is>
          <t>Named Risk Owner Assignment</t>
        </is>
      </c>
      <c r="C26" s="122" t="inlineStr">
        <is>
          <t>A.6.1</t>
        </is>
      </c>
      <c r="D26" s="122" t="inlineStr">
        <is>
          <t>GOVERN-1</t>
        </is>
      </c>
      <c r="E26" s="122" t="inlineStr">
        <is>
          <t>Art 16 (Registration)</t>
        </is>
      </c>
      <c r="F26" s="122" t="inlineStr">
        <is>
          <t>E-23 Accountability</t>
        </is>
      </c>
      <c r="G26" s="122" t="inlineStr">
        <is>
          <t>CC1.1</t>
        </is>
      </c>
      <c r="H26" s="122" t="inlineStr">
        <is>
          <t>Named individual in system register</t>
        </is>
      </c>
    </row>
    <row r="27">
      <c r="A27" s="129" t="inlineStr">
        <is>
          <t>G-24</t>
        </is>
      </c>
      <c r="B27" s="125" t="inlineStr">
        <is>
          <t>AI System Register Entry</t>
        </is>
      </c>
      <c r="C27" s="125" t="inlineStr">
        <is>
          <t>A.5.2</t>
        </is>
      </c>
      <c r="D27" s="125" t="inlineStr">
        <is>
          <t>GOVERN-2</t>
        </is>
      </c>
      <c r="E27" s="125" t="inlineStr">
        <is>
          <t>Art 16 (Registration)</t>
        </is>
      </c>
      <c r="F27" s="125" t="inlineStr">
        <is>
          <t>E-23 Documentation</t>
        </is>
      </c>
      <c r="G27" s="125" t="inlineStr">
        <is>
          <t>CC2.1</t>
        </is>
      </c>
      <c r="H27" s="125" t="inlineStr">
        <is>
          <t>System register record (all fields)</t>
        </is>
      </c>
    </row>
    <row r="28">
      <c r="A28" s="130" t="inlineStr">
        <is>
          <t>G-25</t>
        </is>
      </c>
      <c r="B28" s="122" t="inlineStr">
        <is>
          <t>Incident Response Procedure</t>
        </is>
      </c>
      <c r="C28" s="122" t="inlineStr">
        <is>
          <t>A.11.1</t>
        </is>
      </c>
      <c r="D28" s="122" t="inlineStr">
        <is>
          <t>RESPOND-1</t>
        </is>
      </c>
      <c r="E28" s="122" t="inlineStr">
        <is>
          <t>Art 9 (Risk Mgmt)</t>
        </is>
      </c>
      <c r="F28" s="122" t="inlineStr">
        <is>
          <t>B-13 Incident Mgmt</t>
        </is>
      </c>
      <c r="G28" s="122" t="inlineStr">
        <is>
          <t>CC7.3</t>
        </is>
      </c>
      <c r="H28" s="122" t="inlineStr">
        <is>
          <t>IR procedure + tabletop exercise record</t>
        </is>
      </c>
    </row>
  </sheetData>
  <mergeCells count="8">
    <mergeCell ref="A9:H9"/>
    <mergeCell ref="A4:H4"/>
    <mergeCell ref="A18:H18"/>
    <mergeCell ref="A25:H25"/>
    <mergeCell ref="A2:H2"/>
    <mergeCell ref="A14:H14"/>
    <mergeCell ref="A1:H1"/>
    <mergeCell ref="A23:H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57" min="1" max="1"/>
    <col width="18" customWidth="1" style="57" min="2" max="2"/>
    <col width="18" customWidth="1" style="57" min="3" max="3"/>
    <col width="18" customWidth="1" style="57" min="4" max="4"/>
    <col width="22" customWidth="1" style="57" min="5" max="5"/>
    <col width="42" customWidth="1" style="57" min="6" max="6"/>
  </cols>
  <sheetData>
    <row r="1">
      <c r="A1" s="119" t="inlineStr">
        <is>
          <t>AI Governance Operating Model — RACI Matrix (9-Stage Lifecycle)</t>
        </is>
      </c>
    </row>
    <row r="2">
      <c r="A2" s="120" t="inlineStr">
        <is>
          <t>R=Responsible (does work)  |  A=Accountable (single owner, signs off)  |  C=Consulted (input required)  |  I=Informed (notified). Each stage must have exactly ONE Accountable.</t>
        </is>
      </c>
    </row>
    <row r="3" ht="36" customHeight="1" s="57">
      <c r="A3" s="121" t="inlineStr">
        <is>
          <t>Lifecycle Stage</t>
        </is>
      </c>
      <c r="B3" s="121" t="inlineStr">
        <is>
          <t>Business Unit Owner</t>
        </is>
      </c>
      <c r="C3" s="121" t="inlineStr">
        <is>
          <t>Risk &amp; Compliance</t>
        </is>
      </c>
      <c r="D3" s="121" t="inlineStr">
        <is>
          <t>CISO / Cyber Security</t>
        </is>
      </c>
      <c r="E3" s="121" t="inlineStr">
        <is>
          <t>AI Center of Excellence (CoE)</t>
        </is>
      </c>
      <c r="F3" s="121" t="inlineStr">
        <is>
          <t>Key Gate &amp; Deliverable</t>
        </is>
      </c>
    </row>
    <row r="4" ht="48" customHeight="1" s="57">
      <c r="A4" s="131" t="inlineStr">
        <is>
          <t>1. Ideation &amp; Business Case</t>
        </is>
      </c>
      <c r="B4" s="132" t="inlineStr">
        <is>
          <t>A — Accountable</t>
        </is>
      </c>
      <c r="C4" s="133" t="inlineStr">
        <is>
          <t>C — Consulted</t>
        </is>
      </c>
      <c r="D4" s="134" t="inlineStr">
        <is>
          <t>I — Informed</t>
        </is>
      </c>
      <c r="E4" s="135" t="inlineStr">
        <is>
          <t>R — Responsible</t>
        </is>
      </c>
      <c r="F4" s="136" t="inlineStr">
        <is>
          <t>AI Qualification Checklist Q1–Q12 + Q9-ARCH
Business case with full governance TCO</t>
        </is>
      </c>
    </row>
    <row r="5" ht="48" customHeight="1" s="57">
      <c r="A5" s="137" t="inlineStr">
        <is>
          <t>2. Risk Tiering &amp; Qualification</t>
        </is>
      </c>
      <c r="B5" s="135" t="inlineStr">
        <is>
          <t>R — Responsible</t>
        </is>
      </c>
      <c r="C5" s="132" t="inlineStr">
        <is>
          <t>A — Accountable</t>
        </is>
      </c>
      <c r="D5" s="133" t="inlineStr">
        <is>
          <t>C — Consulted</t>
        </is>
      </c>
      <c r="E5" s="133" t="inlineStr">
        <is>
          <t>C — Consulted</t>
        </is>
      </c>
      <c r="F5" s="138" t="inlineStr">
        <is>
          <t>Board Risk Tier 0–4 assigned
Architecture Pattern A–D confirmed
Review Board approval</t>
        </is>
      </c>
    </row>
    <row r="6" ht="48" customHeight="1" s="57">
      <c r="A6" s="131" t="inlineStr">
        <is>
          <t>3. Security &amp; Prompt Architecture</t>
        </is>
      </c>
      <c r="B6" s="134" t="inlineStr">
        <is>
          <t>I — Informed</t>
        </is>
      </c>
      <c r="C6" s="134" t="inlineStr">
        <is>
          <t>I — Informed</t>
        </is>
      </c>
      <c r="D6" s="133" t="inlineStr">
        <is>
          <t>C — Consulted</t>
        </is>
      </c>
      <c r="E6" s="132" t="inlineStr">
        <is>
          <t>A — Accountable</t>
        </is>
      </c>
      <c r="F6" s="136" t="inlineStr">
        <is>
          <t>SEC-01 to SEC-04 controls designed
MCP governance architecture documented</t>
        </is>
      </c>
    </row>
    <row r="7" ht="48" customHeight="1" s="57">
      <c r="A7" s="137" t="inlineStr">
        <is>
          <t>4. Model Build &amp; Implementation</t>
        </is>
      </c>
      <c r="B7" s="134" t="inlineStr">
        <is>
          <t>I — Informed</t>
        </is>
      </c>
      <c r="C7" s="134" t="inlineStr">
        <is>
          <t>I — Informed</t>
        </is>
      </c>
      <c r="D7" s="133" t="inlineStr">
        <is>
          <t>C — Consulted</t>
        </is>
      </c>
      <c r="E7" s="132" t="inlineStr">
        <is>
          <t>A — Accountable</t>
        </is>
      </c>
      <c r="F7" s="138" t="inlineStr">
        <is>
          <t>Version pinning confirmed
Test library built (Tier A–D)
HITL routing logic implemented</t>
        </is>
      </c>
    </row>
    <row r="8" ht="48" customHeight="1" s="57">
      <c r="A8" s="131" t="inlineStr">
        <is>
          <t>5. Testing &amp; Validation Gate</t>
        </is>
      </c>
      <c r="B8" s="135" t="inlineStr">
        <is>
          <t>R — Responsible</t>
        </is>
      </c>
      <c r="C8" s="134" t="inlineStr">
        <is>
          <t>I — Informed</t>
        </is>
      </c>
      <c r="D8" s="133" t="inlineStr">
        <is>
          <t>C — Consulted</t>
        </is>
      </c>
      <c r="E8" s="132" t="inlineStr">
        <is>
          <t>A — Accountable</t>
        </is>
      </c>
      <c r="F8" s="136" t="inlineStr">
        <is>
          <t>100% full library validation
72-hr shadow run passed
Risk owner sign-off</t>
        </is>
      </c>
    </row>
    <row r="9" ht="48" customHeight="1" s="57">
      <c r="A9" s="137" t="inlineStr">
        <is>
          <t>6. Production Deployment &amp; Canary</t>
        </is>
      </c>
      <c r="B9" s="135" t="inlineStr">
        <is>
          <t>R — Responsible</t>
        </is>
      </c>
      <c r="C9" s="133" t="inlineStr">
        <is>
          <t>C — Consulted</t>
        </is>
      </c>
      <c r="D9" s="132" t="inlineStr">
        <is>
          <t>A — Accountable</t>
        </is>
      </c>
      <c r="E9" s="135" t="inlineStr">
        <is>
          <t>R — Responsible</t>
        </is>
      </c>
      <c r="F9" s="138" t="inlineStr">
        <is>
          <t>Phased rollout 5% → 100%
Canary monitoring active
Kill switch tested</t>
        </is>
      </c>
    </row>
    <row r="10" ht="48" customHeight="1" s="57">
      <c r="A10" s="131" t="inlineStr">
        <is>
          <t>7. Continuous Monitoring</t>
        </is>
      </c>
      <c r="B10" s="134" t="inlineStr">
        <is>
          <t>I — Informed</t>
        </is>
      </c>
      <c r="C10" s="135" t="inlineStr">
        <is>
          <t>R — Responsible</t>
        </is>
      </c>
      <c r="D10" s="134" t="inlineStr">
        <is>
          <t>I — Informed</t>
        </is>
      </c>
      <c r="E10" s="132" t="inlineStr">
        <is>
          <t>A — Accountable</t>
        </is>
      </c>
      <c r="F10" s="136" t="inlineStr">
        <is>
          <t>Monthly C_D cost review
Drift threshold monitoring
Quarterly governance review</t>
        </is>
      </c>
    </row>
    <row r="11" ht="48" customHeight="1" s="57">
      <c r="A11" s="137" t="inlineStr">
        <is>
          <t>8. Incident Containment</t>
        </is>
      </c>
      <c r="B11" s="135" t="inlineStr">
        <is>
          <t>R — Responsible</t>
        </is>
      </c>
      <c r="C11" s="133" t="inlineStr">
        <is>
          <t>C — Consulted</t>
        </is>
      </c>
      <c r="D11" s="132" t="inlineStr">
        <is>
          <t>A — Accountable</t>
        </is>
      </c>
      <c r="E11" s="135" t="inlineStr">
        <is>
          <t>R — Responsible</t>
        </is>
      </c>
      <c r="F11" s="138" t="inlineStr">
        <is>
          <t>SEV classification within 30 min
Kill switch / rollback executed
RCA + incident registry updated</t>
        </is>
      </c>
    </row>
    <row r="12" ht="48" customHeight="1" s="57">
      <c r="A12" s="131" t="inlineStr">
        <is>
          <t>9. Retirement &amp; Decommissioning</t>
        </is>
      </c>
      <c r="B12" s="133" t="inlineStr">
        <is>
          <t>C — Consulted</t>
        </is>
      </c>
      <c r="C12" s="133" t="inlineStr">
        <is>
          <t>C — Consulted</t>
        </is>
      </c>
      <c r="D12" s="132" t="inlineStr">
        <is>
          <t>A — Accountable</t>
        </is>
      </c>
      <c r="E12" s="135" t="inlineStr">
        <is>
          <t>R — Responsible</t>
        </is>
      </c>
      <c r="F12" s="136" t="inlineStr">
        <is>
          <t>Data disposal confirmed
Regulatory retention met
System register → Retired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2026-06-08T14:38:08Z</dcterms:created>
  <dcterms:modified xmlns:dcterms="http://purl.org/dc/terms/" xmlns:xsi="http://www.w3.org/2001/XMLSchema-instance" xsi:type="dcterms:W3CDTF">2026-06-08T20:05:21Z</dcterms:modified>
  <cp:revision>0</cp:revision>
</cp:coreProperties>
</file>