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d3a02c0e0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e33255d0dcb4891"/>
    <x:sheet xmlns:r="http://schemas.openxmlformats.org/officeDocument/2006/relationships" name="Role Directory" sheetId="2" r:id="Rfdcc597c32ae4e76"/>
    <x:sheet xmlns:r="http://schemas.openxmlformats.org/officeDocument/2006/relationships" name="Decision RACI" sheetId="3" r:id="R2bd156c3dbb6480b"/>
    <x:sheet xmlns:r="http://schemas.openxmlformats.org/officeDocument/2006/relationships" name="Lifecycle RACI" sheetId="4" r:id="R6de27d9a4c384a8c"/>
    <x:sheet xmlns:r="http://schemas.openxmlformats.org/officeDocument/2006/relationships" name="Decision Log" sheetId="5" r:id="R5295e6342a39400e"/>
    <x:sheet xmlns:r="http://schemas.openxmlformats.org/officeDocument/2006/relationships" name="Metric Catalogue" sheetId="6" r:id="Re8c72f5102c545cf"/>
    <x:sheet xmlns:r="http://schemas.openxmlformats.org/officeDocument/2006/relationships" name="Dashboard" sheetId="7" r:id="Rfeefef12f7c1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"/>
  </x:numFmts>
  <x:fonts count="9">
    <x:font>
      <x:sz val="11"/>
      <x:name val="Carlito"/>
    </x:font>
    <x:font>
      <x:b/>
      <x:sz val="16"/>
      <x:color rgb="FFFFFFFF"/>
      <x:name val="Aptos Display"/>
    </x:font>
    <x:font>
      <x:i/>
      <x:sz val="9"/>
      <x:color rgb="FF607080"/>
      <x:name val="Aptos"/>
    </x:font>
    <x:font>
      <x:b/>
      <x:sz val="11"/>
      <x:color rgb="FF102A4C"/>
      <x:name val="Carlito"/>
    </x:font>
    <x:font>
      <x:sz val="9"/>
      <x:color rgb="FF172D42"/>
      <x:name val="Aptos"/>
    </x:font>
    <x:font>
      <x:b/>
      <x:sz val="11"/>
      <x:color rgb="FFFFFFFF"/>
      <x:name val="Carlito"/>
    </x:font>
    <x:font>
      <x:sz val="11"/>
      <x:color rgb="FF172D42"/>
      <x:name val="Carlito"/>
    </x:font>
    <x:font>
      <x:b/>
      <x:sz val="9"/>
      <x:color rgb="FF172D42"/>
      <x:name val="Aptos"/>
    </x:font>
    <x:font>
      <x:i/>
      <x:sz val="9"/>
      <x:color rgb="FF172D42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EEF2F5"/>
      </x:patternFill>
    </x:fill>
    <x:fill>
      <x:patternFill patternType="solid">
        <x:fgColor rgb="FFF8F7F3"/>
      </x:patternFill>
    </x:fill>
  </x:fills>
  <x:borders count="5">
    <x:border/>
    <x:border>
      <x:bottom style="medium">
        <x:color rgb="FFA67C2E"/>
      </x:bottom>
    </x:border>
    <x:border>
      <x:bottom style="thin">
        <x:color rgb="FFE2E7EB"/>
      </x:bottom>
    </x:border>
    <x:border>
      <x:top style="thin">
        <x:color rgb="FFE2E7EB"/>
      </x:top>
      <x:bottom style="thin">
        <x:color rgb="FFE2E7EB"/>
      </x:bottom>
    </x:border>
    <x:border>
      <x:top style="thin">
        <x:color rgb="FFE2E7E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6" fillId="4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0" fontId="7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201" fontId="4" fillId="0" borderId="0" xfId="0" applyNumberFormat="1" applyFont="1" applyFill="1" applyBorder="1"/>
    <x:xf numFmtId="0" fontId="7" fillId="3" borderId="1" xfId="0" applyNumberFormat="1" applyFont="1" applyFill="1" applyBorder="1"/>
    <x:xf numFmtId="200" fontId="4" fillId="0" borderId="2" xfId="0" applyNumberFormat="1" applyFont="1" applyFill="1" applyBorder="1"/>
    <x:xf numFmtId="0" fontId="4" fillId="4" borderId="0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/>
    <x:xf numFmtId="202" fontId="4" fillId="0" borderId="3" xfId="0" applyNumberFormat="1" applyFont="1" applyFill="1" applyBorder="1"/>
    <x:xf numFmtId="202" fontId="4" fillId="0" borderId="4" xfId="0" applyNumberFormat="1" applyFont="1" applyFill="1" applyBorder="1"/>
  </x:cellXfs>
  <x:cellStyles count="1">
    <x:cellStyle name="Normal" xfId="0"/>
  </x:cellStyles>
  <x:dxfs count="5">
    <x:dxf>
      <x:font>
        <x:b/>
        <x:color rgb="FF215B42"/>
      </x:font>
      <x:fill>
        <x:patternFill patternType="solid">
          <x:bgColor rgb="FFDDECE5"/>
        </x:patternFill>
      </x:fill>
    </x:dxf>
    <x:dxf>
      <x:font>
        <x:b/>
        <x:color rgb="FF8A2F28"/>
      </x:font>
      <x:fill>
        <x:patternFill patternType="solid">
          <x:bgColor rgb="FFF4DDDA"/>
        </x:patternFill>
      </x:fill>
    </x:dxf>
    <x:dxf>
      <x:font>
        <x:b/>
        <x:color rgb="FF835816"/>
      </x:font>
      <x:fill>
        <x:patternFill patternType="solid">
          <x:bgColor rgb="FFF3E8D4"/>
        </x:patternFill>
      </x:fill>
    </x:dxf>
    <x:dxf>
      <x:font>
        <x:b/>
        <x:color rgb="FF215B42"/>
      </x:font>
      <x:fill>
        <x:patternFill patternType="solid">
          <x:bgColor rgb="FFDDECE5"/>
        </x:patternFill>
      </x:fill>
    </x:dxf>
    <x:dxf>
      <x:font>
        <x:b/>
        <x:color rgb="FF8A2F28"/>
      </x:font>
      <x:fill>
        <x:patternFill patternType="solid">
          <x:bgColor rgb="FFF4DD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2a33bbd624c54" /><Relationship Type="http://schemas.openxmlformats.org/officeDocument/2006/relationships/theme" Target="/xl/theme/theme1.xml" Id="R55853d2536ca4b23" /><Relationship Type="http://schemas.openxmlformats.org/officeDocument/2006/relationships/sharedStrings" Target="/xl/sharedStrings.xml" Id="R787f9aba5baa4629" /><Relationship Type="http://schemas.openxmlformats.org/officeDocument/2006/relationships/worksheet" Target="/xl/worksheets/sheet1.xml" Id="R0e33255d0dcb4891" /><Relationship Type="http://schemas.openxmlformats.org/officeDocument/2006/relationships/worksheet" Target="/xl/worksheets/sheet2.xml" Id="Rfdcc597c32ae4e76" /><Relationship Type="http://schemas.openxmlformats.org/officeDocument/2006/relationships/worksheet" Target="/xl/worksheets/sheet3.xml" Id="R2bd156c3dbb6480b" /><Relationship Type="http://schemas.openxmlformats.org/officeDocument/2006/relationships/worksheet" Target="/xl/worksheets/sheet4.xml" Id="R6de27d9a4c384a8c" /><Relationship Type="http://schemas.openxmlformats.org/officeDocument/2006/relationships/worksheet" Target="/xl/worksheets/sheet5.xml" Id="R5295e6342a39400e" /><Relationship Type="http://schemas.openxmlformats.org/officeDocument/2006/relationships/worksheet" Target="/xl/worksheets/sheet6.xml" Id="Re8c72f5102c545cf" /><Relationship Type="http://schemas.openxmlformats.org/officeDocument/2006/relationships/worksheet" Target="/xl/worksheets/sheet7.xml" Id="Rfeefef12f7c1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1" hidden="0" customWidth="1"/>
    <x:col min="4" max="4" width="20" hidden="0" customWidth="1"/>
    <x:col min="5" max="5" width="38" hidden="0" customWidth="1"/>
    <x:col min="6" max="6" width="22" hidden="0" customWidth="1"/>
    <x:col min="7" max="7" width="22" hidden="0" customWidth="1"/>
    <x:col min="8" max="8" width="26" hidden="0" customWidth="1"/>
  </x:cols>
  <x:sheetData>
    <x:row r="1" ht="32" customHeight="1">
      <x:c r="A1" s="3" t="str">
        <x:v>Enterprise AI Governance RACI Metrics Template</x:v>
      </x:c>
      <x:c r="B1" s="47"/>
      <x:c r="C1" s="47"/>
      <x:c r="D1" s="47"/>
      <x:c r="E1" s="47"/>
      <x:c r="F1" s="47"/>
      <x:c r="G1" s="47"/>
      <x:c r="H1" s="47"/>
    </x:row>
    <x:row r="2" ht="28" customHeight="1">
      <x:c r="A2" s="48" t="str">
        <x:v>Ratheesh Technology Ltd. — instructions, definitions, operating rules and workbook navigation.</x:v>
      </x:c>
      <x:c r="B2" s="48"/>
      <x:c r="C2" s="48"/>
      <x:c r="D2" s="48"/>
      <x:c r="E2" s="48"/>
      <x:c r="F2" s="48"/>
      <x:c r="G2" s="48"/>
      <x:c r="H2" s="48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 ht="29" customHeight="1">
      <x:c r="A4" s="49" t="str">
        <x:v>Step</x:v>
      </x:c>
      <x:c r="B4" s="49" t="str">
        <x:v>Action</x:v>
      </x:c>
      <x:c r="C4" s="49" t="str">
        <x:v>Purpose</x:v>
      </x:c>
      <x:c r="D4" s="49" t="str">
        <x:v>Primary sheet</x:v>
      </x:c>
      <x:c r="E4" s="49" t="str">
        <x:v>Minimum completion standard</x:v>
      </x:c>
      <x:c r="F4" s="49" t="str">
        <x:v>Owner</x:v>
      </x:c>
      <x:c r="G4" s="49" t="str">
        <x:v>Review point</x:v>
      </x:c>
      <x:c r="H4" s="49" t="str">
        <x:v>Output</x:v>
      </x:c>
    </x:row>
    <x:row r="5">
      <x:c r="A5" s="19" t="n">
        <x:v>1</x:v>
      </x:c>
      <x:c r="B5" s="19" t="str">
        <x:v>Define the governance roles and named role holders.</x:v>
      </x:c>
      <x:c r="C5" s="19" t="str">
        <x:v>Make accountability traceable to people and functions.</x:v>
      </x:c>
      <x:c r="D5" s="19" t="str">
        <x:v>Role Directory</x:v>
      </x:c>
      <x:c r="E5" s="19" t="str">
        <x:v>Every active role has a role holder, delegate and authority level.</x:v>
      </x:c>
      <x:c r="F5" s="19" t="str">
        <x:v>AI Governance Lead</x:v>
      </x:c>
      <x:c r="G5" s="19" t="str">
        <x:v>Mobilization</x:v>
      </x:c>
      <x:c r="H5" s="19" t="str">
        <x:v>Approved role directory</x:v>
      </x:c>
    </x:row>
    <x:row r="6">
      <x:c r="A6" s="20" t="n">
        <x:v>2</x:v>
      </x:c>
      <x:c r="B6" s="20" t="str">
        <x:v>Tailor the enterprise decision catalogue.</x:v>
      </x:c>
      <x:c r="C6" s="20" t="str">
        <x:v>Confirm the decisions that require explicit accountability.</x:v>
      </x:c>
      <x:c r="D6" s="20" t="str">
        <x:v>Decision RACI</x:v>
      </x:c>
      <x:c r="E6" s="20" t="str">
        <x:v>Each decision has exactly one A and at least one R.</x:v>
      </x:c>
      <x:c r="F6" s="20" t="str">
        <x:v>Executive Sponsor</x:v>
      </x:c>
      <x:c r="G6" s="20" t="str">
        <x:v>Operating-model approval</x:v>
      </x:c>
      <x:c r="H6" s="20" t="str">
        <x:v>Decision-rights matrix</x:v>
      </x:c>
    </x:row>
    <x:row r="7">
      <x:c r="A7" s="20" t="n">
        <x:v>3</x:v>
      </x:c>
      <x:c r="B7" s="20" t="str">
        <x:v>Tailor lifecycle activities and control ownership.</x:v>
      </x:c>
      <x:c r="C7" s="20" t="str">
        <x:v>Embed RACI across intake, design, validation, deployment, monitoring and retirement.</x:v>
      </x:c>
      <x:c r="D7" s="20" t="str">
        <x:v>Lifecycle RACI</x:v>
      </x:c>
      <x:c r="E7" s="20" t="str">
        <x:v>All mandatory gates and material controls have accountable owners.</x:v>
      </x:c>
      <x:c r="F7" s="20" t="str">
        <x:v>AI Governance Office</x:v>
      </x:c>
      <x:c r="G7" s="20" t="str">
        <x:v>Lifecycle launch</x:v>
      </x:c>
      <x:c r="H7" s="20" t="str">
        <x:v>Lifecycle responsibility model</x:v>
      </x:c>
    </x:row>
    <x:row r="8">
      <x:c r="A8" s="20" t="n">
        <x:v>4</x:v>
      </x:c>
      <x:c r="B8" s="20" t="str">
        <x:v>Record operational decision events.</x:v>
      </x:c>
      <x:c r="C8" s="20" t="str">
        <x:v>Measure whether accountability works in practice.</x:v>
      </x:c>
      <x:c r="D8" s="20" t="str">
        <x:v>Decision Log</x:v>
      </x:c>
      <x:c r="E8" s="20" t="str">
        <x:v>Actual decision, SLA, outcome, evidence and escalation recorded.</x:v>
      </x:c>
      <x:c r="F8" s="20" t="str">
        <x:v>Committee Secretary</x:v>
      </x:c>
      <x:c r="G8" s="20" t="str">
        <x:v>Each meeting / decision</x:v>
      </x:c>
      <x:c r="H8" s="20" t="str">
        <x:v>Auditable decision record</x:v>
      </x:c>
    </x:row>
    <x:row r="9">
      <x:c r="A9" s="20" t="n">
        <x:v>5</x:v>
      </x:c>
      <x:c r="B9" s="20" t="str">
        <x:v>Maintain metrics and thresholds.</x:v>
      </x:c>
      <x:c r="C9" s="20" t="str">
        <x:v>Define what good governance performance means.</x:v>
      </x:c>
      <x:c r="D9" s="20" t="str">
        <x:v>Metric Catalogue</x:v>
      </x:c>
      <x:c r="E9" s="20" t="str">
        <x:v>Every metric has formula, source, target, threshold and response owner.</x:v>
      </x:c>
      <x:c r="F9" s="20" t="str">
        <x:v>Governance Reporting Lead</x:v>
      </x:c>
      <x:c r="G9" s="20" t="str">
        <x:v>Quarterly</x:v>
      </x:c>
      <x:c r="H9" s="20" t="str">
        <x:v>Approved KPI/KRI catalogue</x:v>
      </x:c>
    </x:row>
    <x:row r="10">
      <x:c r="A10" s="21" t="n">
        <x:v>6</x:v>
      </x:c>
      <x:c r="B10" s="21" t="str">
        <x:v>Review the dashboard and diagnostic checks.</x:v>
      </x:c>
      <x:c r="C10" s="21" t="str">
        <x:v>Identify missing accountability, overload, delays and weak evidence.</x:v>
      </x:c>
      <x:c r="D10" s="21" t="str">
        <x:v>Dashboard</x:v>
      </x:c>
      <x:c r="E10" s="21" t="str">
        <x:v>Exceptions assigned and tracked to closure.</x:v>
      </x:c>
      <x:c r="F10" s="21" t="str">
        <x:v>AI Steering Committee</x:v>
      </x:c>
      <x:c r="G10" s="21" t="str">
        <x:v>Monthly / quarterly</x:v>
      </x:c>
      <x:c r="H10" s="21" t="str">
        <x:v>Management action record</x:v>
      </x:c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 ht="24" customHeight="1">
      <x:c r="A13" s="50" t="str">
        <x:v>RACI operating rules</x:v>
      </x:c>
      <x:c r="B13" s="50"/>
      <x:c r="C13" s="50"/>
      <x:c r="D13" s="50"/>
      <x:c r="E13" s="50"/>
      <x:c r="F13" s="50"/>
      <x:c r="G13" s="50"/>
      <x:c r="H13" s="50"/>
    </x:row>
    <x:row r="14" ht="24" customHeight="1">
      <x:c r="A14" s="51" t="str">
        <x:v>A = Accountable: one role owns the outcome and final decision. Avoid multiple A assignments.</x:v>
      </x:c>
      <x:c r="B14" s="51"/>
      <x:c r="C14" s="51"/>
      <x:c r="D14" s="51"/>
      <x:c r="E14" s="51"/>
      <x:c r="F14" s="51"/>
      <x:c r="G14" s="51"/>
      <x:c r="H14" s="51"/>
    </x:row>
    <x:row r="15" ht="24" customHeight="1">
      <x:c r="A15" s="51" t="str">
        <x:v>R = Responsible: one or more roles perform the work and assemble the decision evidence.</x:v>
      </x:c>
      <x:c r="B15" s="51"/>
      <x:c r="C15" s="51"/>
      <x:c r="D15" s="51"/>
      <x:c r="E15" s="51"/>
      <x:c r="F15" s="51"/>
      <x:c r="G15" s="51"/>
      <x:c r="H15" s="51"/>
    </x:row>
    <x:row r="16" ht="24" customHeight="1">
      <x:c r="A16" s="51" t="str">
        <x:v>C = Consulted: provides required expertise before the decision or activity is completed.</x:v>
      </x:c>
      <x:c r="B16" s="51"/>
      <x:c r="C16" s="51"/>
      <x:c r="D16" s="51"/>
      <x:c r="E16" s="51"/>
      <x:c r="F16" s="51"/>
      <x:c r="G16" s="51"/>
      <x:c r="H16" s="51"/>
    </x:row>
    <x:row r="17" ht="24" customHeight="1">
      <x:c r="A17" s="51" t="str">
        <x:v>I = Informed: receives the decision or outcome after it is made; I is not an approval role.</x:v>
      </x:c>
      <x:c r="B17" s="51"/>
      <x:c r="C17" s="51"/>
      <x:c r="D17" s="51"/>
      <x:c r="E17" s="51"/>
      <x:c r="F17" s="51"/>
      <x:c r="G17" s="51"/>
      <x:c r="H17" s="51"/>
    </x:row>
    <x:row r="18" ht="24" customHeight="1">
      <x:c r="A18" s="51" t="str">
        <x:v>AR may be used only when the accountable owner also performs the work; it still counts as one accountable role.</x:v>
      </x:c>
      <x:c r="B18" s="51"/>
      <x:c r="C18" s="51"/>
      <x:c r="D18" s="51"/>
      <x:c r="E18" s="51"/>
      <x:c r="F18" s="51"/>
      <x:c r="G18" s="51"/>
      <x:c r="H18" s="51"/>
    </x:row>
    <x:row r="19" ht="24" customHeight="1">
      <x:c r="A19" s="51" t="str">
        <x:v>Risk acceptance must remain independent from the team creating the exposure, and emergency authority must be explicit.</x:v>
      </x:c>
      <x:c r="B19" s="51"/>
      <x:c r="C19" s="51"/>
      <x:c r="D19" s="51"/>
      <x:c r="E19" s="51"/>
      <x:c r="F19" s="51"/>
      <x:c r="G19" s="51"/>
      <x:c r="H19" s="51"/>
    </x:row>
  </x:sheetData>
  <x:mergeCells>
    <x:mergeCell ref="A1:H1"/>
    <x:mergeCell ref="A2:H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22" hidden="0" customWidth="1"/>
    <x:col min="5" max="5" width="22" hidden="0" customWidth="1"/>
    <x:col min="6" max="6" width="44" hidden="0" customWidth="1"/>
    <x:col min="7" max="7" width="18" hidden="0" customWidth="1"/>
    <x:col min="8" max="8" width="20" hidden="0" customWidth="1"/>
    <x:col min="9" max="9" width="14" hidden="0" customWidth="1"/>
    <x:col min="10" max="10" width="25" hidden="0" customWidth="1"/>
    <x:col min="11" max="11" width="28" hidden="0" customWidth="1"/>
    <x:col min="12" max="12" width="13" hidden="0" customWidth="1"/>
  </x:cols>
  <x:sheetData>
    <x:row r="1" ht="32" customHeight="1">
      <x:c r="A1" s="3" t="str">
        <x:v>Governance Role Directory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2" ht="28" customHeight="1">
      <x:c r="A2" s="48" t="str">
        <x:v>Name role holders, delegates, authority and capacity before assigning RACI codes.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9" customHeight="1">
      <x:c r="A4" s="49" t="str">
        <x:v>Role ID</x:v>
      </x:c>
      <x:c r="B4" s="49" t="str">
        <x:v>Governance role</x:v>
      </x:c>
      <x:c r="C4" s="49" t="str">
        <x:v>Line / forum</x:v>
      </x:c>
      <x:c r="D4" s="49" t="str">
        <x:v>Named holder</x:v>
      </x:c>
      <x:c r="E4" s="49" t="str">
        <x:v>Delegate</x:v>
      </x:c>
      <x:c r="F4" s="49" t="str">
        <x:v>Mandate / accountability</x:v>
      </x:c>
      <x:c r="G4" s="49" t="str">
        <x:v>Authority type</x:v>
      </x:c>
      <x:c r="H4" s="49" t="str">
        <x:v>Review cadence</x:v>
      </x:c>
      <x:c r="I4" s="49" t="str">
        <x:v>Status</x:v>
      </x:c>
      <x:c r="J4" s="49" t="str">
        <x:v>Email / contact</x:v>
      </x:c>
      <x:c r="K4" s="49" t="str">
        <x:v>Notes</x:v>
      </x:c>
      <x:c r="L4" s="49" t="str">
        <x:v>Capacity %</x:v>
      </x:c>
    </x:row>
    <x:row r="5">
      <x:c r="A5" s="19" t="str">
        <x:v>RL-01</x:v>
      </x:c>
      <x:c r="B5" s="19" t="str">
        <x:v>Board / Audit Committee</x:v>
      </x:c>
      <x:c r="C5" s="19" t="str">
        <x:v>Oversight</x:v>
      </x:c>
      <x:c r="D5" s="19" t="str"/>
      <x:c r="E5" s="19" t="str"/>
      <x:c r="F5" s="19" t="str">
        <x:v>Enterprise appetite, material risk and independent oversight</x:v>
      </x:c>
      <x:c r="G5" s="19" t="str">
        <x:v>Oversight</x:v>
      </x:c>
      <x:c r="H5" s="19" t="str">
        <x:v>Quarterly</x:v>
      </x:c>
      <x:c r="I5" s="19" t="str">
        <x:v>Active</x:v>
      </x:c>
      <x:c r="J5" s="19" t="str"/>
      <x:c r="K5" s="19" t="str"/>
      <x:c r="L5" s="26" t="n">
        <x:v>0.2</x:v>
      </x:c>
    </x:row>
    <x:row r="6">
      <x:c r="A6" s="20" t="str">
        <x:v>RL-02</x:v>
      </x:c>
      <x:c r="B6" s="20" t="str">
        <x:v>Executive Sponsor</x:v>
      </x:c>
      <x:c r="C6" s="20" t="str">
        <x:v>Executive</x:v>
      </x:c>
      <x:c r="D6" s="20" t="str"/>
      <x:c r="E6" s="20" t="str"/>
      <x:c r="F6" s="20" t="str">
        <x:v>Strategy, funding, final escalation and residual risk authority</x:v>
      </x:c>
      <x:c r="G6" s="20" t="str">
        <x:v>Approve</x:v>
      </x:c>
      <x:c r="H6" s="20" t="str">
        <x:v>Monthly</x:v>
      </x:c>
      <x:c r="I6" s="20" t="str">
        <x:v>Active</x:v>
      </x:c>
      <x:c r="J6" s="20" t="str"/>
      <x:c r="K6" s="20" t="str"/>
      <x:c r="L6" s="27" t="n">
        <x:v>0.4</x:v>
      </x:c>
    </x:row>
    <x:row r="7">
      <x:c r="A7" s="20" t="str">
        <x:v>RL-03</x:v>
      </x:c>
      <x:c r="B7" s="20" t="str">
        <x:v>AI Steering Committee</x:v>
      </x:c>
      <x:c r="C7" s="20" t="str">
        <x:v>Governance</x:v>
      </x:c>
      <x:c r="D7" s="20" t="str"/>
      <x:c r="E7" s="20" t="str"/>
      <x:c r="F7" s="20" t="str">
        <x:v>Portfolio prioritization, high-risk approvals, standards and exceptions</x:v>
      </x:c>
      <x:c r="G7" s="20" t="str">
        <x:v>Approve</x:v>
      </x:c>
      <x:c r="H7" s="20" t="str">
        <x:v>Monthly</x:v>
      </x:c>
      <x:c r="I7" s="20" t="str">
        <x:v>Active</x:v>
      </x:c>
      <x:c r="J7" s="20" t="str"/>
      <x:c r="K7" s="20" t="str"/>
      <x:c r="L7" s="27" t="n">
        <x:v>0.6</x:v>
      </x:c>
    </x:row>
    <x:row r="8">
      <x:c r="A8" s="20" t="str">
        <x:v>RL-04</x:v>
      </x:c>
      <x:c r="B8" s="20" t="str">
        <x:v>AI Governance Office</x:v>
      </x:c>
      <x:c r="C8" s="20" t="str">
        <x:v>Governance</x:v>
      </x:c>
      <x:c r="D8" s="20" t="str"/>
      <x:c r="E8" s="20" t="str"/>
      <x:c r="F8" s="20" t="str">
        <x:v>Framework operation, orchestration, reporting, evidence and enablement</x:v>
      </x:c>
      <x:c r="G8" s="20" t="str">
        <x:v>Operate</x:v>
      </x:c>
      <x:c r="H8" s="20" t="str">
        <x:v>Continuous</x:v>
      </x:c>
      <x:c r="I8" s="20" t="str">
        <x:v>Active</x:v>
      </x:c>
      <x:c r="J8" s="20" t="str"/>
      <x:c r="K8" s="20" t="str"/>
      <x:c r="L8" s="27" t="n">
        <x:v>1</x:v>
      </x:c>
    </x:row>
    <x:row r="9">
      <x:c r="A9" s="20" t="str">
        <x:v>RL-05</x:v>
      </x:c>
      <x:c r="B9" s="20" t="str">
        <x:v>Business / Product Owner</x:v>
      </x:c>
      <x:c r="C9" s="20" t="str">
        <x:v>First Line</x:v>
      </x:c>
      <x:c r="D9" s="20" t="str"/>
      <x:c r="E9" s="20" t="str"/>
      <x:c r="F9" s="20" t="str">
        <x:v>Value, outcomes, affected stakeholders and residual business risk</x:v>
      </x:c>
      <x:c r="G9" s="20" t="str">
        <x:v>Own</x:v>
      </x:c>
      <x:c r="H9" s="20" t="str">
        <x:v>Per use case</x:v>
      </x:c>
      <x:c r="I9" s="20" t="str">
        <x:v>Active</x:v>
      </x:c>
      <x:c r="J9" s="20" t="str"/>
      <x:c r="K9" s="20" t="str"/>
      <x:c r="L9" s="27" t="n">
        <x:v>0.8</x:v>
      </x:c>
    </x:row>
    <x:row r="10">
      <x:c r="A10" s="20" t="str">
        <x:v>RL-06</x:v>
      </x:c>
      <x:c r="B10" s="20" t="str">
        <x:v>Enterprise Risk / Compliance</x:v>
      </x:c>
      <x:c r="C10" s="20" t="str">
        <x:v>Second Line</x:v>
      </x:c>
      <x:c r="D10" s="20" t="str"/>
      <x:c r="E10" s="20" t="str"/>
      <x:c r="F10" s="20" t="str">
        <x:v>Risk method, challenge, acceptance routing and regulatory alignment</x:v>
      </x:c>
      <x:c r="G10" s="20" t="str">
        <x:v>Challenge</x:v>
      </x:c>
      <x:c r="H10" s="20" t="str">
        <x:v>Per gate</x:v>
      </x:c>
      <x:c r="I10" s="20" t="str">
        <x:v>Active</x:v>
      </x:c>
      <x:c r="J10" s="20" t="str"/>
      <x:c r="K10" s="20" t="str"/>
      <x:c r="L10" s="27" t="n">
        <x:v>0.7</x:v>
      </x:c>
    </x:row>
    <x:row r="11">
      <x:c r="A11" s="20" t="str">
        <x:v>RL-07</x:v>
      </x:c>
      <x:c r="B11" s="20" t="str">
        <x:v>Privacy / Legal</x:v>
      </x:c>
      <x:c r="C11" s="20" t="str">
        <x:v>Second Line</x:v>
      </x:c>
      <x:c r="D11" s="20" t="str"/>
      <x:c r="E11" s="20" t="str"/>
      <x:c r="F11" s="20" t="str">
        <x:v>Privacy, legal, IP, transparency and regulatory requirements</x:v>
      </x:c>
      <x:c r="G11" s="20" t="str">
        <x:v>Challenge</x:v>
      </x:c>
      <x:c r="H11" s="20" t="str">
        <x:v>Per gate</x:v>
      </x:c>
      <x:c r="I11" s="20" t="str">
        <x:v>Active</x:v>
      </x:c>
      <x:c r="J11" s="20" t="str"/>
      <x:c r="K11" s="20" t="str"/>
      <x:c r="L11" s="27" t="n">
        <x:v>0.5</x:v>
      </x:c>
    </x:row>
    <x:row r="12">
      <x:c r="A12" s="20" t="str">
        <x:v>RL-08</x:v>
      </x:c>
      <x:c r="B12" s="20" t="str">
        <x:v>Cybersecurity</x:v>
      </x:c>
      <x:c r="C12" s="20" t="str">
        <x:v>Second Line</x:v>
      </x:c>
      <x:c r="D12" s="20" t="str"/>
      <x:c r="E12" s="20" t="str"/>
      <x:c r="F12" s="20" t="str">
        <x:v>Threat assessment, security control approval and incident response</x:v>
      </x:c>
      <x:c r="G12" s="20" t="str">
        <x:v>Challenge</x:v>
      </x:c>
      <x:c r="H12" s="20" t="str">
        <x:v>Per gate</x:v>
      </x:c>
      <x:c r="I12" s="20" t="str">
        <x:v>Active</x:v>
      </x:c>
      <x:c r="J12" s="20" t="str"/>
      <x:c r="K12" s="20" t="str"/>
      <x:c r="L12" s="27" t="n">
        <x:v>0.7</x:v>
      </x:c>
    </x:row>
    <x:row r="13">
      <x:c r="A13" s="20" t="str">
        <x:v>RL-09</x:v>
      </x:c>
      <x:c r="B13" s="20" t="str">
        <x:v>Enterprise Architecture</x:v>
      </x:c>
      <x:c r="C13" s="20" t="str">
        <x:v>Design Authority</x:v>
      </x:c>
      <x:c r="D13" s="20" t="str"/>
      <x:c r="E13" s="20" t="str"/>
      <x:c r="F13" s="20" t="str">
        <x:v>Architecture standards, integration boundaries and technical decisions</x:v>
      </x:c>
      <x:c r="G13" s="20" t="str">
        <x:v>Approve</x:v>
      </x:c>
      <x:c r="H13" s="20" t="str">
        <x:v>Per gate</x:v>
      </x:c>
      <x:c r="I13" s="20" t="str">
        <x:v>Active</x:v>
      </x:c>
      <x:c r="J13" s="20" t="str"/>
      <x:c r="K13" s="20" t="str"/>
      <x:c r="L13" s="27" t="n">
        <x:v>0.65</x:v>
      </x:c>
    </x:row>
    <x:row r="14">
      <x:c r="A14" s="20" t="str">
        <x:v>RL-10</x:v>
      </x:c>
      <x:c r="B14" s="20" t="str">
        <x:v>Data Owner / Data Governance</x:v>
      </x:c>
      <x:c r="C14" s="20" t="str">
        <x:v>First / Second Line</x:v>
      </x:c>
      <x:c r="D14" s="20" t="str"/>
      <x:c r="E14" s="20" t="str"/>
      <x:c r="F14" s="20" t="str">
        <x:v>Data purpose, quality, classification, lineage, retention and access</x:v>
      </x:c>
      <x:c r="G14" s="20" t="str">
        <x:v>Approve</x:v>
      </x:c>
      <x:c r="H14" s="20" t="str">
        <x:v>Per gate</x:v>
      </x:c>
      <x:c r="I14" s="20" t="str">
        <x:v>Active</x:v>
      </x:c>
      <x:c r="J14" s="20" t="str"/>
      <x:c r="K14" s="20" t="str"/>
      <x:c r="L14" s="27" t="n">
        <x:v>0.6</x:v>
      </x:c>
    </x:row>
    <x:row r="15">
      <x:c r="A15" s="20" t="str">
        <x:v>RL-11</x:v>
      </x:c>
      <x:c r="B15" s="20" t="str">
        <x:v>Model / Validation Lead</x:v>
      </x:c>
      <x:c r="C15" s="20" t="str">
        <x:v>Independent Validation</x:v>
      </x:c>
      <x:c r="D15" s="20" t="str"/>
      <x:c r="E15" s="20" t="str"/>
      <x:c r="F15" s="20" t="str">
        <x:v>Independent performance, fairness, robustness and model-risk validation</x:v>
      </x:c>
      <x:c r="G15" s="20" t="str">
        <x:v>Validate</x:v>
      </x:c>
      <x:c r="H15" s="20" t="str">
        <x:v>Per release</x:v>
      </x:c>
      <x:c r="I15" s="20" t="str">
        <x:v>Active</x:v>
      </x:c>
      <x:c r="J15" s="20" t="str"/>
      <x:c r="K15" s="20" t="str"/>
      <x:c r="L15" s="27" t="n">
        <x:v>0.6</x:v>
      </x:c>
    </x:row>
    <x:row r="16">
      <x:c r="A16" s="20" t="str">
        <x:v>RL-12</x:v>
      </x:c>
      <x:c r="B16" s="20" t="str">
        <x:v>Delivery / Engineering</x:v>
      </x:c>
      <x:c r="C16" s="20" t="str">
        <x:v>First Line</x:v>
      </x:c>
      <x:c r="D16" s="20" t="str"/>
      <x:c r="E16" s="20" t="str"/>
      <x:c r="F16" s="20" t="str">
        <x:v>Design, build, test evidence, deployment and remediation</x:v>
      </x:c>
      <x:c r="G16" s="20" t="str">
        <x:v>Execute</x:v>
      </x:c>
      <x:c r="H16" s="20" t="str">
        <x:v>Continuous</x:v>
      </x:c>
      <x:c r="I16" s="20" t="str">
        <x:v>Active</x:v>
      </x:c>
      <x:c r="J16" s="20" t="str"/>
      <x:c r="K16" s="20" t="str"/>
      <x:c r="L16" s="27" t="n">
        <x:v>1</x:v>
      </x:c>
    </x:row>
    <x:row r="17">
      <x:c r="A17" s="20" t="str">
        <x:v>RL-13</x:v>
      </x:c>
      <x:c r="B17" s="20" t="str">
        <x:v>Operations / Service Owner</x:v>
      </x:c>
      <x:c r="C17" s="20" t="str">
        <x:v>First Line</x:v>
      </x:c>
      <x:c r="D17" s="20" t="str"/>
      <x:c r="E17" s="20" t="str"/>
      <x:c r="F17" s="20" t="str">
        <x:v>Production monitoring, incident, change, resilience and retirement</x:v>
      </x:c>
      <x:c r="G17" s="20" t="str">
        <x:v>Operate</x:v>
      </x:c>
      <x:c r="H17" s="20" t="str">
        <x:v>Continuous</x:v>
      </x:c>
      <x:c r="I17" s="20" t="str">
        <x:v>Active</x:v>
      </x:c>
      <x:c r="J17" s="20" t="str"/>
      <x:c r="K17" s="20" t="str"/>
      <x:c r="L17" s="27" t="n">
        <x:v>0.8</x:v>
      </x:c>
    </x:row>
    <x:row r="18">
      <x:c r="A18" s="20" t="str">
        <x:v>RL-14</x:v>
      </x:c>
      <x:c r="B18" s="20" t="str">
        <x:v>Vendor / Procurement Owner</x:v>
      </x:c>
      <x:c r="C18" s="20" t="str">
        <x:v>First / Second Line</x:v>
      </x:c>
      <x:c r="D18" s="20" t="str"/>
      <x:c r="E18" s="20" t="str"/>
      <x:c r="F18" s="20" t="str">
        <x:v>Due diligence, contract controls, concentration, exit and service obligations</x:v>
      </x:c>
      <x:c r="G18" s="20" t="str">
        <x:v>Approve</x:v>
      </x:c>
      <x:c r="H18" s="20" t="str">
        <x:v>Onboarding / annual</x:v>
      </x:c>
      <x:c r="I18" s="20" t="str">
        <x:v>Active</x:v>
      </x:c>
      <x:c r="J18" s="20" t="str"/>
      <x:c r="K18" s="20" t="str"/>
      <x:c r="L18" s="27" t="n">
        <x:v>0.45</x:v>
      </x:c>
    </x:row>
    <x:row r="19">
      <x:c r="A19" s="21" t="str">
        <x:v>RL-15</x:v>
      </x:c>
      <x:c r="B19" s="21" t="str">
        <x:v>Internal Audit</x:v>
      </x:c>
      <x:c r="C19" s="21" t="str">
        <x:v>Third Line</x:v>
      </x:c>
      <x:c r="D19" s="21" t="str"/>
      <x:c r="E19" s="21" t="str"/>
      <x:c r="F19" s="21" t="str">
        <x:v>Independent assurance over governance design and operating effectiveness</x:v>
      </x:c>
      <x:c r="G19" s="21" t="str">
        <x:v>Assure</x:v>
      </x:c>
      <x:c r="H19" s="21" t="str">
        <x:v>Risk based</x:v>
      </x:c>
      <x:c r="I19" s="21" t="str">
        <x:v>Active</x:v>
      </x:c>
      <x:c r="J19" s="21" t="str"/>
      <x:c r="K19" s="21" t="str"/>
      <x:c r="L19" s="28" t="n">
        <x:v>0.3</x:v>
      </x:c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5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5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5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5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5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5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5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5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5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5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5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5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5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5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5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5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5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5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5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5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5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5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5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5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5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5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5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5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5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5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5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5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5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5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5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5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5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5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5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5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5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5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5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5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5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5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5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5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5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5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5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5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5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5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5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5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5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5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5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5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5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5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5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5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5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5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5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5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5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5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5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5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5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5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5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5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5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5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5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5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5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5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5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5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52"/>
    </x:row>
  </x:sheetData>
  <x:mergeCells>
    <x:mergeCell ref="A1:L1"/>
    <x:mergeCell ref="A2:L2"/>
  </x:mergeCells>
  <x:dataValidations count="1">
    <x:dataValidation type="list" sqref="I5:I104">
      <x:formula1>"Active,Interim,Vacant,Retired"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8" hidden="0" customWidth="1"/>
    <x:col min="5" max="5" width="14" hidden="0" customWidth="1"/>
    <x:col min="6" max="6" width="24" hidden="0" customWidth="1"/>
    <x:col min="7" max="7" width="22" hidden="0" customWidth="1"/>
    <x:col min="8" max="8" width="14" hidden="0" customWidth="1"/>
    <x:col min="9" max="9" width="24" hidden="0" customWidth="1"/>
    <x:col min="10" max="10" width="42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</x:cols>
  <x:sheetData>
    <x:row r="1" ht="32" customHeight="1">
      <x:c r="A1" s="3" t="str">
        <x:v>Enterprise AI Decision RACI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</x:row>
    <x:row r="2" ht="28" customHeight="1">
      <x:c r="A2" s="48" t="str">
        <x:v>Detailed decision rights across enterprise governance, lifecycle gates, risk acceptance, incidents and assurance.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  <x:c r="AA2" s="48"/>
      <x:c r="AB2" s="48"/>
      <x:c r="AC2" s="48"/>
      <x:c r="AD2" s="48"/>
      <x:c r="AE2" s="4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</x:row>
    <x:row r="4" ht="29" customHeight="1">
      <x:c r="A4" s="49" t="str">
        <x:v>Decision ID</x:v>
      </x:c>
      <x:c r="B4" s="49" t="str">
        <x:v>Decision / authority</x:v>
      </x:c>
      <x:c r="C4" s="49" t="str">
        <x:v>Domain</x:v>
      </x:c>
      <x:c r="D4" s="49" t="str">
        <x:v>Scope</x:v>
      </x:c>
      <x:c r="E4" s="49" t="str">
        <x:v>Criticality</x:v>
      </x:c>
      <x:c r="F4" s="49" t="str">
        <x:v>Default accountable role</x:v>
      </x:c>
      <x:c r="G4" s="49" t="str">
        <x:v>Cadence / trigger</x:v>
      </x:c>
      <x:c r="H4" s="49" t="str">
        <x:v>Decision SLA days</x:v>
      </x:c>
      <x:c r="I4" s="49" t="str">
        <x:v>Escalation forum</x:v>
      </x:c>
      <x:c r="J4" s="49" t="str">
        <x:v>Required evidence</x:v>
      </x:c>
      <x:c r="K4" s="49" t="str">
        <x:v>Evidence owner</x:v>
      </x:c>
      <x:c r="L4" s="49" t="str">
        <x:v>Board / Audit Committee</x:v>
      </x:c>
      <x:c r="M4" s="49" t="str">
        <x:v>Executive Sponsor</x:v>
      </x:c>
      <x:c r="N4" s="49" t="str">
        <x:v>AI Steering Committee</x:v>
      </x:c>
      <x:c r="O4" s="49" t="str">
        <x:v>AI Governance Office</x:v>
      </x:c>
      <x:c r="P4" s="49" t="str">
        <x:v>Business / Product Owner</x:v>
      </x:c>
      <x:c r="Q4" s="49" t="str">
        <x:v>Enterprise Risk / Compliance</x:v>
      </x:c>
      <x:c r="R4" s="49" t="str">
        <x:v>Privacy / Legal</x:v>
      </x:c>
      <x:c r="S4" s="49" t="str">
        <x:v>Cybersecurity</x:v>
      </x:c>
      <x:c r="T4" s="49" t="str">
        <x:v>Enterprise Architecture</x:v>
      </x:c>
      <x:c r="U4" s="49" t="str">
        <x:v>Data Owner / Data Governance</x:v>
      </x:c>
      <x:c r="V4" s="49" t="str">
        <x:v>Model / Validation Lead</x:v>
      </x:c>
      <x:c r="W4" s="49" t="str">
        <x:v>Delivery / Engineering</x:v>
      </x:c>
      <x:c r="X4" s="49" t="str">
        <x:v>Operations / Service Owner</x:v>
      </x:c>
      <x:c r="Y4" s="49" t="str">
        <x:v>Vendor / Procurement Owner</x:v>
      </x:c>
      <x:c r="Z4" s="49" t="str">
        <x:v>Internal Audit</x:v>
      </x:c>
      <x:c r="AA4" s="53" t="str">
        <x:v>A count</x:v>
      </x:c>
      <x:c r="AB4" s="53" t="str">
        <x:v>R count</x:v>
      </x:c>
      <x:c r="AC4" s="53" t="str">
        <x:v>C count</x:v>
      </x:c>
      <x:c r="AD4" s="53" t="str">
        <x:v>I count</x:v>
      </x:c>
      <x:c r="AE4" s="53" t="str">
        <x:v>RACI health</x:v>
      </x:c>
    </x:row>
    <x:row r="5">
      <x:c r="A5" s="19" t="str">
        <x:v>D-01</x:v>
      </x:c>
      <x:c r="B5" s="19" t="str">
        <x:v>Approve enterprise AI strategy and principles</x:v>
      </x:c>
      <x:c r="C5" s="19" t="str">
        <x:v>Strategy</x:v>
      </x:c>
      <x:c r="D5" s="19" t="str">
        <x:v>Enterprise</x:v>
      </x:c>
      <x:c r="E5" s="19" t="str">
        <x:v>High</x:v>
      </x:c>
      <x:c r="F5" s="19" t="str">
        <x:v>Executive Sponsor</x:v>
      </x:c>
      <x:c r="G5" s="19" t="str">
        <x:v>Quarterly</x:v>
      </x:c>
      <x:c r="H5" s="19" t="str">
        <x:v>30</x:v>
      </x:c>
      <x:c r="I5" s="19" t="str">
        <x:v>AI Steering Committee</x:v>
      </x:c>
      <x:c r="J5" s="19" t="str">
        <x:v>Charter, strategy and decision record</x:v>
      </x:c>
      <x:c r="K5" s="19" t="str">
        <x:v>Executive Sponsor</x:v>
      </x:c>
      <x:c r="L5" s="19" t="str">
        <x:v>A</x:v>
      </x:c>
      <x:c r="M5" s="19" t="str">
        <x:v>C</x:v>
      </x:c>
      <x:c r="N5" s="19" t="str">
        <x:v>R</x:v>
      </x:c>
      <x:c r="O5" s="19" t="str">
        <x:v>C</x:v>
      </x:c>
      <x:c r="P5" s="19" t="str">
        <x:v>C</x:v>
      </x:c>
      <x:c r="Q5" s="19" t="str">
        <x:v>C</x:v>
      </x:c>
      <x:c r="R5" s="19" t="str">
        <x:v>C</x:v>
      </x:c>
      <x:c r="S5" s="19" t="str">
        <x:v>C</x:v>
      </x:c>
      <x:c r="T5" s="19" t="str">
        <x:v>C</x:v>
      </x:c>
      <x:c r="U5" s="19" t="str">
        <x:v>I</x:v>
      </x:c>
      <x:c r="V5" s="19" t="str">
        <x:v>I</x:v>
      </x:c>
      <x:c r="W5" s="19" t="str">
        <x:v>I</x:v>
      </x:c>
      <x:c r="X5" s="19" t="str">
        <x:v>I</x:v>
      </x:c>
      <x:c r="Y5" s="19" t="str">
        <x:v>I</x:v>
      </x:c>
      <x:c r="Z5" s="19" t="str">
        <x:v>I</x:v>
      </x:c>
      <x:c r="AA5" s="31" t="n">
        <x:f>IF(B5="","",COUNTIF(L5:Z5,"A")+COUNTIF(L5:Z5,"AR"))</x:f>
        <x:v>1</x:v>
      </x:c>
      <x:c r="AB5" s="31" t="n">
        <x:f>IF(B5="","",COUNTIF(L5:Z5,"R")+COUNTIF(L5:Z5,"AR"))</x:f>
        <x:v>1</x:v>
      </x:c>
      <x:c r="AC5" s="31" t="n">
        <x:f>IF(B5="","",COUNTIF(L5:Z5,"C"))</x:f>
        <x:v>7</x:v>
      </x:c>
      <x:c r="AD5" s="31" t="n">
        <x:f>IF(B5="","",COUNTIF(L5:Z5,"I"))</x:f>
        <x:v>6</x:v>
      </x:c>
      <x:c r="AE5" s="31" t="str">
        <x:f>IF(B5="","",IF(AND(AA5=1,AB5&gt;=1),"Healthy",IF(AA5=0,"Missing A",IF(AA5&gt;1,"Multiple A","Missing R"))))</x:f>
        <x:v>Healthy</x:v>
      </x:c>
    </x:row>
    <x:row r="6">
      <x:c r="A6" s="20" t="str">
        <x:v>D-02</x:v>
      </x:c>
      <x:c r="B6" s="20" t="str">
        <x:v>Approve AI governance policy and mandatory standards</x:v>
      </x:c>
      <x:c r="C6" s="20" t="str">
        <x:v>Policy</x:v>
      </x:c>
      <x:c r="D6" s="20" t="str">
        <x:v>Enterprise</x:v>
      </x:c>
      <x:c r="E6" s="20" t="str">
        <x:v>High</x:v>
      </x:c>
      <x:c r="F6" s="20" t="str">
        <x:v>Executive Sponsor</x:v>
      </x:c>
      <x:c r="G6" s="20" t="str">
        <x:v>Annual / change</x:v>
      </x:c>
      <x:c r="H6" s="20" t="str">
        <x:v>30</x:v>
      </x:c>
      <x:c r="I6" s="20" t="str">
        <x:v>AI Steering Committee</x:v>
      </x:c>
      <x:c r="J6" s="20" t="str">
        <x:v>Policy, control catalogue and consultation record</x:v>
      </x:c>
      <x:c r="K6" s="20" t="str">
        <x:v>AI Governance Office</x:v>
      </x:c>
      <x:c r="L6" s="20" t="str">
        <x:v>I</x:v>
      </x:c>
      <x:c r="M6" s="20" t="str">
        <x:v>A</x:v>
      </x:c>
      <x:c r="N6" s="20" t="str">
        <x:v>R</x:v>
      </x:c>
      <x:c r="O6" s="20" t="str">
        <x:v>R</x:v>
      </x:c>
      <x:c r="P6" s="20" t="str">
        <x:v>C</x:v>
      </x:c>
      <x:c r="Q6" s="20" t="str">
        <x:v>R</x:v>
      </x:c>
      <x:c r="R6" s="20" t="str">
        <x:v>C</x:v>
      </x:c>
      <x:c r="S6" s="20" t="str">
        <x:v>C</x:v>
      </x:c>
      <x:c r="T6" s="20" t="str">
        <x:v>C</x:v>
      </x:c>
      <x:c r="U6" s="20" t="str">
        <x:v>C</x:v>
      </x:c>
      <x:c r="V6" s="20" t="str">
        <x:v>C</x:v>
      </x:c>
      <x:c r="W6" s="20" t="str">
        <x:v>I</x:v>
      </x:c>
      <x:c r="X6" s="20" t="str">
        <x:v>I</x:v>
      </x:c>
      <x:c r="Y6" s="20" t="str">
        <x:v>C</x:v>
      </x:c>
      <x:c r="Z6" s="20" t="str">
        <x:v>I</x:v>
      </x:c>
      <x:c r="AA6" s="32" t="n">
        <x:f>IF(B6="","",COUNTIF(L6:Z6,"A")+COUNTIF(L6:Z6,"AR"))</x:f>
        <x:v>1</x:v>
      </x:c>
      <x:c r="AB6" s="32" t="n">
        <x:f>IF(B6="","",COUNTIF(L6:Z6,"R")+COUNTIF(L6:Z6,"AR"))</x:f>
        <x:v>3</x:v>
      </x:c>
      <x:c r="AC6" s="32" t="n">
        <x:f>IF(B6="","",COUNTIF(L6:Z6,"C"))</x:f>
        <x:v>7</x:v>
      </x:c>
      <x:c r="AD6" s="32" t="n">
        <x:f>IF(B6="","",COUNTIF(L6:Z6,"I"))</x:f>
        <x:v>4</x:v>
      </x:c>
      <x:c r="AE6" s="32" t="str">
        <x:f>IF(B6="","",IF(AND(AA6=1,AB6&gt;=1),"Healthy",IF(AA6=0,"Missing A",IF(AA6&gt;1,"Multiple A","Missing R"))))</x:f>
        <x:v>Healthy</x:v>
      </x:c>
    </x:row>
    <x:row r="7">
      <x:c r="A7" s="20" t="str">
        <x:v>D-03</x:v>
      </x:c>
      <x:c r="B7" s="20" t="str">
        <x:v>Classify use-case risk tier and governance pathway</x:v>
      </x:c>
      <x:c r="C7" s="20" t="str">
        <x:v>Risk</x:v>
      </x:c>
      <x:c r="D7" s="20" t="str">
        <x:v>Use case</x:v>
      </x:c>
      <x:c r="E7" s="20" t="str">
        <x:v>High</x:v>
      </x:c>
      <x:c r="F7" s="20" t="str">
        <x:v>Enterprise Risk / Compliance</x:v>
      </x:c>
      <x:c r="G7" s="20" t="str">
        <x:v>Per intake</x:v>
      </x:c>
      <x:c r="H7" s="20" t="str">
        <x:v>10</x:v>
      </x:c>
      <x:c r="I7" s="20" t="str">
        <x:v>AI Governance Office</x:v>
      </x:c>
      <x:c r="J7" s="20" t="str">
        <x:v>Intake, risk assessment and classification rationale</x:v>
      </x:c>
      <x:c r="K7" s="20" t="str">
        <x:v>AI Governance Office</x:v>
      </x:c>
      <x:c r="L7" s="20" t="str">
        <x:v>I</x:v>
      </x:c>
      <x:c r="M7" s="20" t="str">
        <x:v>I</x:v>
      </x:c>
      <x:c r="N7" s="20" t="str">
        <x:v>C</x:v>
      </x:c>
      <x:c r="O7" s="20" t="str">
        <x:v>A</x:v>
      </x:c>
      <x:c r="P7" s="20" t="str">
        <x:v>R</x:v>
      </x:c>
      <x:c r="Q7" s="20" t="str">
        <x:v>R</x:v>
      </x:c>
      <x:c r="R7" s="20" t="str">
        <x:v>C</x:v>
      </x:c>
      <x:c r="S7" s="20" t="str">
        <x:v>C</x:v>
      </x:c>
      <x:c r="T7" s="20" t="str">
        <x:v>C</x:v>
      </x:c>
      <x:c r="U7" s="20" t="str">
        <x:v>C</x:v>
      </x:c>
      <x:c r="V7" s="20" t="str">
        <x:v>C</x:v>
      </x:c>
      <x:c r="W7" s="20" t="str">
        <x:v>C</x:v>
      </x:c>
      <x:c r="X7" s="20" t="str">
        <x:v>I</x:v>
      </x:c>
      <x:c r="Y7" s="20" t="str">
        <x:v>C</x:v>
      </x:c>
      <x:c r="Z7" s="20" t="str">
        <x:v>I</x:v>
      </x:c>
      <x:c r="AA7" s="32" t="n">
        <x:f>IF(B7="","",COUNTIF(L7:Z7,"A")+COUNTIF(L7:Z7,"AR"))</x:f>
        <x:v>1</x:v>
      </x:c>
      <x:c r="AB7" s="32" t="n">
        <x:f>IF(B7="","",COUNTIF(L7:Z7,"R")+COUNTIF(L7:Z7,"AR"))</x:f>
        <x:v>2</x:v>
      </x:c>
      <x:c r="AC7" s="32" t="n">
        <x:f>IF(B7="","",COUNTIF(L7:Z7,"C"))</x:f>
        <x:v>8</x:v>
      </x:c>
      <x:c r="AD7" s="32" t="n">
        <x:f>IF(B7="","",COUNTIF(L7:Z7,"I"))</x:f>
        <x:v>4</x:v>
      </x:c>
      <x:c r="AE7" s="32" t="str">
        <x:f>IF(B7="","",IF(AND(AA7=1,AB7&gt;=1),"Healthy",IF(AA7=0,"Missing A",IF(AA7&gt;1,"Multiple A","Missing R"))))</x:f>
        <x:v>Healthy</x:v>
      </x:c>
    </x:row>
    <x:row r="8">
      <x:c r="A8" s="20" t="str">
        <x:v>D-04</x:v>
      </x:c>
      <x:c r="B8" s="20" t="str">
        <x:v>Approve high-risk use case to proceed to design</x:v>
      </x:c>
      <x:c r="C8" s="20" t="str">
        <x:v>Portfolio</x:v>
      </x:c>
      <x:c r="D8" s="20" t="str">
        <x:v>Use case</x:v>
      </x:c>
      <x:c r="E8" s="20" t="str">
        <x:v>Critical</x:v>
      </x:c>
      <x:c r="F8" s="20" t="str">
        <x:v>AI Steering Committee</x:v>
      </x:c>
      <x:c r="G8" s="20" t="str">
        <x:v>Per use case</x:v>
      </x:c>
      <x:c r="H8" s="20" t="str">
        <x:v>20</x:v>
      </x:c>
      <x:c r="I8" s="20" t="str">
        <x:v>Executive Sponsor</x:v>
      </x:c>
      <x:c r="J8" s="20" t="str">
        <x:v>Business case, risk tier and conditions</x:v>
      </x:c>
      <x:c r="K8" s="20" t="str">
        <x:v>Business / Product Owner</x:v>
      </x:c>
      <x:c r="L8" s="20" t="str">
        <x:v>I</x:v>
      </x:c>
      <x:c r="M8" s="20" t="str">
        <x:v>C</x:v>
      </x:c>
      <x:c r="N8" s="20" t="str">
        <x:v>A</x:v>
      </x:c>
      <x:c r="O8" s="20" t="str">
        <x:v>R</x:v>
      </x:c>
      <x:c r="P8" s="20" t="str">
        <x:v>R</x:v>
      </x:c>
      <x:c r="Q8" s="20" t="str">
        <x:v>R</x:v>
      </x:c>
      <x:c r="R8" s="20" t="str">
        <x:v>C</x:v>
      </x:c>
      <x:c r="S8" s="20" t="str">
        <x:v>C</x:v>
      </x:c>
      <x:c r="T8" s="20" t="str">
        <x:v>C</x:v>
      </x:c>
      <x:c r="U8" s="20" t="str">
        <x:v>C</x:v>
      </x:c>
      <x:c r="V8" s="20" t="str">
        <x:v>C</x:v>
      </x:c>
      <x:c r="W8" s="20" t="str">
        <x:v>I</x:v>
      </x:c>
      <x:c r="X8" s="20" t="str">
        <x:v>I</x:v>
      </x:c>
      <x:c r="Y8" s="20" t="str">
        <x:v>C</x:v>
      </x:c>
      <x:c r="Z8" s="20" t="str">
        <x:v>I</x:v>
      </x:c>
      <x:c r="AA8" s="32" t="n">
        <x:f>IF(B8="","",COUNTIF(L8:Z8,"A")+COUNTIF(L8:Z8,"AR"))</x:f>
        <x:v>1</x:v>
      </x:c>
      <x:c r="AB8" s="32" t="n">
        <x:f>IF(B8="","",COUNTIF(L8:Z8,"R")+COUNTIF(L8:Z8,"AR"))</x:f>
        <x:v>3</x:v>
      </x:c>
      <x:c r="AC8" s="32" t="n">
        <x:f>IF(B8="","",COUNTIF(L8:Z8,"C"))</x:f>
        <x:v>7</x:v>
      </x:c>
      <x:c r="AD8" s="32" t="n">
        <x:f>IF(B8="","",COUNTIF(L8:Z8,"I"))</x:f>
        <x:v>4</x:v>
      </x:c>
      <x:c r="AE8" s="32" t="str">
        <x:f>IF(B8="","",IF(AND(AA8=1,AB8&gt;=1),"Healthy",IF(AA8=0,"Missing A",IF(AA8&gt;1,"Multiple A","Missing R"))))</x:f>
        <x:v>Healthy</x:v>
      </x:c>
    </x:row>
    <x:row r="9">
      <x:c r="A9" s="20" t="str">
        <x:v>D-05</x:v>
      </x:c>
      <x:c r="B9" s="20" t="str">
        <x:v>Approve target architecture and technical control design</x:v>
      </x:c>
      <x:c r="C9" s="20" t="str">
        <x:v>Architecture</x:v>
      </x:c>
      <x:c r="D9" s="20" t="str">
        <x:v>Use case</x:v>
      </x:c>
      <x:c r="E9" s="20" t="str">
        <x:v>High</x:v>
      </x:c>
      <x:c r="F9" s="20" t="str">
        <x:v>Enterprise Architecture</x:v>
      </x:c>
      <x:c r="G9" s="20" t="str">
        <x:v>Per design</x:v>
      </x:c>
      <x:c r="H9" s="20" t="str">
        <x:v>15</x:v>
      </x:c>
      <x:c r="I9" s="20" t="str">
        <x:v>AI Steering Committee</x:v>
      </x:c>
      <x:c r="J9" s="20" t="str">
        <x:v>Architecture decision record, data flow and threat model</x:v>
      </x:c>
      <x:c r="K9" s="20" t="str">
        <x:v>Delivery / Engineering</x:v>
      </x:c>
      <x:c r="L9" s="20" t="str">
        <x:v>I</x:v>
      </x:c>
      <x:c r="M9" s="20" t="str">
        <x:v>I</x:v>
      </x:c>
      <x:c r="N9" s="20" t="str">
        <x:v>C</x:v>
      </x:c>
      <x:c r="O9" s="20" t="str">
        <x:v>C</x:v>
      </x:c>
      <x:c r="P9" s="20" t="str">
        <x:v>C</x:v>
      </x:c>
      <x:c r="Q9" s="20" t="str">
        <x:v>C</x:v>
      </x:c>
      <x:c r="R9" s="20" t="str">
        <x:v>C</x:v>
      </x:c>
      <x:c r="S9" s="20" t="str">
        <x:v>R</x:v>
      </x:c>
      <x:c r="T9" s="20" t="str">
        <x:v>A</x:v>
      </x:c>
      <x:c r="U9" s="20" t="str">
        <x:v>R</x:v>
      </x:c>
      <x:c r="V9" s="20" t="str">
        <x:v>C</x:v>
      </x:c>
      <x:c r="W9" s="20" t="str">
        <x:v>R</x:v>
      </x:c>
      <x:c r="X9" s="20" t="str">
        <x:v>C</x:v>
      </x:c>
      <x:c r="Y9" s="20" t="str">
        <x:v>C</x:v>
      </x:c>
      <x:c r="Z9" s="20" t="str">
        <x:v>I</x:v>
      </x:c>
      <x:c r="AA9" s="32" t="n">
        <x:f>IF(B9="","",COUNTIF(L9:Z9,"A")+COUNTIF(L9:Z9,"AR"))</x:f>
        <x:v>1</x:v>
      </x:c>
      <x:c r="AB9" s="32" t="n">
        <x:f>IF(B9="","",COUNTIF(L9:Z9,"R")+COUNTIF(L9:Z9,"AR"))</x:f>
        <x:v>3</x:v>
      </x:c>
      <x:c r="AC9" s="32" t="n">
        <x:f>IF(B9="","",COUNTIF(L9:Z9,"C"))</x:f>
        <x:v>8</x:v>
      </x:c>
      <x:c r="AD9" s="32" t="n">
        <x:f>IF(B9="","",COUNTIF(L9:Z9,"I"))</x:f>
        <x:v>3</x:v>
      </x:c>
      <x:c r="AE9" s="32" t="str">
        <x:f>IF(B9="","",IF(AND(AA9=1,AB9&gt;=1),"Healthy",IF(AA9=0,"Missing A",IF(AA9&gt;1,"Multiple A","Missing R"))))</x:f>
        <x:v>Healthy</x:v>
      </x:c>
    </x:row>
    <x:row r="10">
      <x:c r="A10" s="20" t="str">
        <x:v>D-06</x:v>
      </x:c>
      <x:c r="B10" s="20" t="str">
        <x:v>Approve security and privacy readiness</x:v>
      </x:c>
      <x:c r="C10" s="20" t="str">
        <x:v>Security / Privacy</x:v>
      </x:c>
      <x:c r="D10" s="20" t="str">
        <x:v>Use case</x:v>
      </x:c>
      <x:c r="E10" s="20" t="str">
        <x:v>High</x:v>
      </x:c>
      <x:c r="F10" s="20" t="str">
        <x:v>Cybersecurity</x:v>
      </x:c>
      <x:c r="G10" s="20" t="str">
        <x:v>Per release</x:v>
      </x:c>
      <x:c r="H10" s="20" t="str">
        <x:v>15</x:v>
      </x:c>
      <x:c r="I10" s="20" t="str">
        <x:v>AI Steering Committee</x:v>
      </x:c>
      <x:c r="J10" s="20" t="str">
        <x:v>Security tests, privacy assessment and remediation closure</x:v>
      </x:c>
      <x:c r="K10" s="20" t="str">
        <x:v>Delivery / Engineering</x:v>
      </x:c>
      <x:c r="L10" s="20" t="str">
        <x:v>I</x:v>
      </x:c>
      <x:c r="M10" s="20" t="str">
        <x:v>I</x:v>
      </x:c>
      <x:c r="N10" s="20" t="str">
        <x:v>C</x:v>
      </x:c>
      <x:c r="O10" s="20" t="str">
        <x:v>C</x:v>
      </x:c>
      <x:c r="P10" s="20" t="str">
        <x:v>C</x:v>
      </x:c>
      <x:c r="Q10" s="20" t="str">
        <x:v>C</x:v>
      </x:c>
      <x:c r="R10" s="20" t="str">
        <x:v>R</x:v>
      </x:c>
      <x:c r="S10" s="20" t="str">
        <x:v>A</x:v>
      </x:c>
      <x:c r="T10" s="20" t="str">
        <x:v>C</x:v>
      </x:c>
      <x:c r="U10" s="20" t="str">
        <x:v>R</x:v>
      </x:c>
      <x:c r="V10" s="20" t="str">
        <x:v>C</x:v>
      </x:c>
      <x:c r="W10" s="20" t="str">
        <x:v>R</x:v>
      </x:c>
      <x:c r="X10" s="20" t="str">
        <x:v>C</x:v>
      </x:c>
      <x:c r="Y10" s="20" t="str">
        <x:v>C</x:v>
      </x:c>
      <x:c r="Z10" s="20" t="str">
        <x:v>I</x:v>
      </x:c>
      <x:c r="AA10" s="32" t="n">
        <x:f>IF(B10="","",COUNTIF(L10:Z10,"A")+COUNTIF(L10:Z10,"AR"))</x:f>
        <x:v>1</x:v>
      </x:c>
      <x:c r="AB10" s="32" t="n">
        <x:f>IF(B10="","",COUNTIF(L10:Z10,"R")+COUNTIF(L10:Z10,"AR"))</x:f>
        <x:v>3</x:v>
      </x:c>
      <x:c r="AC10" s="32" t="n">
        <x:f>IF(B10="","",COUNTIF(L10:Z10,"C"))</x:f>
        <x:v>8</x:v>
      </x:c>
      <x:c r="AD10" s="32" t="n">
        <x:f>IF(B10="","",COUNTIF(L10:Z10,"I"))</x:f>
        <x:v>3</x:v>
      </x:c>
      <x:c r="AE10" s="32" t="str">
        <x:f>IF(B10="","",IF(AND(AA10=1,AB10&gt;=1),"Healthy",IF(AA10=0,"Missing A",IF(AA10&gt;1,"Multiple A","Missing R"))))</x:f>
        <x:v>Healthy</x:v>
      </x:c>
    </x:row>
    <x:row r="11">
      <x:c r="A11" s="20" t="str">
        <x:v>D-07</x:v>
      </x:c>
      <x:c r="B11" s="20" t="str">
        <x:v>Approve independent validation result</x:v>
      </x:c>
      <x:c r="C11" s="20" t="str">
        <x:v>Validation</x:v>
      </x:c>
      <x:c r="D11" s="20" t="str">
        <x:v>Use case</x:v>
      </x:c>
      <x:c r="E11" s="20" t="str">
        <x:v>High</x:v>
      </x:c>
      <x:c r="F11" s="20" t="str">
        <x:v>Model / Validation Lead</x:v>
      </x:c>
      <x:c r="G11" s="20" t="str">
        <x:v>Per release / material change</x:v>
      </x:c>
      <x:c r="H11" s="20" t="str">
        <x:v>15</x:v>
      </x:c>
      <x:c r="I11" s="20" t="str">
        <x:v>AI Steering Committee</x:v>
      </x:c>
      <x:c r="J11" s="20" t="str">
        <x:v>Validation report and limitations</x:v>
      </x:c>
      <x:c r="K11" s="20" t="str">
        <x:v>Model / Validation Lead</x:v>
      </x:c>
      <x:c r="L11" s="20" t="str">
        <x:v>I</x:v>
      </x:c>
      <x:c r="M11" s="20" t="str">
        <x:v>I</x:v>
      </x:c>
      <x:c r="N11" s="20" t="str">
        <x:v>C</x:v>
      </x:c>
      <x:c r="O11" s="20" t="str">
        <x:v>C</x:v>
      </x:c>
      <x:c r="P11" s="20" t="str">
        <x:v>C</x:v>
      </x:c>
      <x:c r="Q11" s="20" t="str">
        <x:v>C</x:v>
      </x:c>
      <x:c r="R11" s="20" t="str">
        <x:v>C</x:v>
      </x:c>
      <x:c r="S11" s="20" t="str">
        <x:v>C</x:v>
      </x:c>
      <x:c r="T11" s="20" t="str">
        <x:v>C</x:v>
      </x:c>
      <x:c r="U11" s="20" t="str">
        <x:v>C</x:v>
      </x:c>
      <x:c r="V11" s="20" t="str">
        <x:v>A</x:v>
      </x:c>
      <x:c r="W11" s="20" t="str">
        <x:v>R</x:v>
      </x:c>
      <x:c r="X11" s="20" t="str">
        <x:v>C</x:v>
      </x:c>
      <x:c r="Y11" s="20" t="str">
        <x:v>I</x:v>
      </x:c>
      <x:c r="Z11" s="20" t="str">
        <x:v>I</x:v>
      </x:c>
      <x:c r="AA11" s="32" t="n">
        <x:f>IF(B11="","",COUNTIF(L11:Z11,"A")+COUNTIF(L11:Z11,"AR"))</x:f>
        <x:v>1</x:v>
      </x:c>
      <x:c r="AB11" s="32" t="n">
        <x:f>IF(B11="","",COUNTIF(L11:Z11,"R")+COUNTIF(L11:Z11,"AR"))</x:f>
        <x:v>1</x:v>
      </x:c>
      <x:c r="AC11" s="32" t="n">
        <x:f>IF(B11="","",COUNTIF(L11:Z11,"C"))</x:f>
        <x:v>9</x:v>
      </x:c>
      <x:c r="AD11" s="32" t="n">
        <x:f>IF(B11="","",COUNTIF(L11:Z11,"I"))</x:f>
        <x:v>4</x:v>
      </x:c>
      <x:c r="AE11" s="32" t="str">
        <x:f>IF(B11="","",IF(AND(AA11=1,AB11&gt;=1),"Healthy",IF(AA11=0,"Missing A",IF(AA11&gt;1,"Multiple A","Missing R"))))</x:f>
        <x:v>Healthy</x:v>
      </x:c>
    </x:row>
    <x:row r="12">
      <x:c r="A12" s="20" t="str">
        <x:v>D-08</x:v>
      </x:c>
      <x:c r="B12" s="20" t="str">
        <x:v>Authorize production deployment</x:v>
      </x:c>
      <x:c r="C12" s="20" t="str">
        <x:v>Release</x:v>
      </x:c>
      <x:c r="D12" s="20" t="str">
        <x:v>Use case</x:v>
      </x:c>
      <x:c r="E12" s="20" t="str">
        <x:v>Critical</x:v>
      </x:c>
      <x:c r="F12" s="20" t="str">
        <x:v>Business / Product Owner</x:v>
      </x:c>
      <x:c r="G12" s="20" t="str">
        <x:v>Per release</x:v>
      </x:c>
      <x:c r="H12" s="20" t="str">
        <x:v>10</x:v>
      </x:c>
      <x:c r="I12" s="20" t="str">
        <x:v>Executive Sponsor</x:v>
      </x:c>
      <x:c r="J12" s="20" t="str">
        <x:v>Gate pack, residual risk, monitoring and rollback readiness</x:v>
      </x:c>
      <x:c r="K12" s="20" t="str">
        <x:v>Operations / Service Owner</x:v>
      </x:c>
      <x:c r="L12" s="20" t="str">
        <x:v>I</x:v>
      </x:c>
      <x:c r="M12" s="20" t="str">
        <x:v>I</x:v>
      </x:c>
      <x:c r="N12" s="20" t="str">
        <x:v>C</x:v>
      </x:c>
      <x:c r="O12" s="20" t="str">
        <x:v>A</x:v>
      </x:c>
      <x:c r="P12" s="20" t="str">
        <x:v>C</x:v>
      </x:c>
      <x:c r="Q12" s="20" t="str">
        <x:v>C</x:v>
      </x:c>
      <x:c r="R12" s="20" t="str">
        <x:v>C</x:v>
      </x:c>
      <x:c r="S12" s="20" t="str">
        <x:v>C</x:v>
      </x:c>
      <x:c r="T12" s="20" t="str">
        <x:v>R</x:v>
      </x:c>
      <x:c r="U12" s="20" t="str">
        <x:v>C</x:v>
      </x:c>
      <x:c r="V12" s="20" t="str">
        <x:v>R</x:v>
      </x:c>
      <x:c r="W12" s="20" t="str">
        <x:v>R</x:v>
      </x:c>
      <x:c r="X12" s="20" t="str">
        <x:v>R</x:v>
      </x:c>
      <x:c r="Y12" s="20" t="str">
        <x:v>C</x:v>
      </x:c>
      <x:c r="Z12" s="20" t="str">
        <x:v>I</x:v>
      </x:c>
      <x:c r="AA12" s="32" t="n">
        <x:f>IF(B12="","",COUNTIF(L12:Z12,"A")+COUNTIF(L12:Z12,"AR"))</x:f>
        <x:v>1</x:v>
      </x:c>
      <x:c r="AB12" s="32" t="n">
        <x:f>IF(B12="","",COUNTIF(L12:Z12,"R")+COUNTIF(L12:Z12,"AR"))</x:f>
        <x:v>4</x:v>
      </x:c>
      <x:c r="AC12" s="32" t="n">
        <x:f>IF(B12="","",COUNTIF(L12:Z12,"C"))</x:f>
        <x:v>7</x:v>
      </x:c>
      <x:c r="AD12" s="32" t="n">
        <x:f>IF(B12="","",COUNTIF(L12:Z12,"I"))</x:f>
        <x:v>3</x:v>
      </x:c>
      <x:c r="AE12" s="32" t="str">
        <x:f>IF(B12="","",IF(AND(AA12=1,AB12&gt;=1),"Healthy",IF(AA12=0,"Missing A",IF(AA12&gt;1,"Multiple A","Missing R"))))</x:f>
        <x:v>Healthy</x:v>
      </x:c>
    </x:row>
    <x:row r="13">
      <x:c r="A13" s="20" t="str">
        <x:v>D-09</x:v>
      </x:c>
      <x:c r="B13" s="20" t="str">
        <x:v>Accept residual high or material risk</x:v>
      </x:c>
      <x:c r="C13" s="20" t="str">
        <x:v>Risk Acceptance</x:v>
      </x:c>
      <x:c r="D13" s="20" t="str">
        <x:v>Use case</x:v>
      </x:c>
      <x:c r="E13" s="20" t="str">
        <x:v>Critical</x:v>
      </x:c>
      <x:c r="F13" s="20" t="str">
        <x:v>Executive Sponsor</x:v>
      </x:c>
      <x:c r="G13" s="20" t="str">
        <x:v>Per exception / release</x:v>
      </x:c>
      <x:c r="H13" s="20" t="str">
        <x:v>10</x:v>
      </x:c>
      <x:c r="I13" s="20" t="str">
        <x:v>Board / Audit Committee</x:v>
      </x:c>
      <x:c r="J13" s="20" t="str">
        <x:v>Residual risk statement, treatment, expiry and conditions</x:v>
      </x:c>
      <x:c r="K13" s="20" t="str">
        <x:v>Enterprise Risk / Compliance</x:v>
      </x:c>
      <x:c r="L13" s="20" t="str">
        <x:v>I</x:v>
      </x:c>
      <x:c r="M13" s="20" t="str">
        <x:v>A</x:v>
      </x:c>
      <x:c r="N13" s="20" t="str">
        <x:v>C</x:v>
      </x:c>
      <x:c r="O13" s="20" t="str">
        <x:v>R</x:v>
      </x:c>
      <x:c r="P13" s="20" t="str">
        <x:v>C</x:v>
      </x:c>
      <x:c r="Q13" s="20" t="str">
        <x:v>R</x:v>
      </x:c>
      <x:c r="R13" s="20" t="str">
        <x:v>C</x:v>
      </x:c>
      <x:c r="S13" s="20" t="str">
        <x:v>C</x:v>
      </x:c>
      <x:c r="T13" s="20" t="str">
        <x:v>C</x:v>
      </x:c>
      <x:c r="U13" s="20" t="str">
        <x:v>C</x:v>
      </x:c>
      <x:c r="V13" s="20" t="str">
        <x:v>C</x:v>
      </x:c>
      <x:c r="W13" s="20" t="str">
        <x:v>I</x:v>
      </x:c>
      <x:c r="X13" s="20" t="str">
        <x:v>I</x:v>
      </x:c>
      <x:c r="Y13" s="20" t="str">
        <x:v>I</x:v>
      </x:c>
      <x:c r="Z13" s="20" t="str">
        <x:v>I</x:v>
      </x:c>
      <x:c r="AA13" s="32" t="n">
        <x:f>IF(B13="","",COUNTIF(L13:Z13,"A")+COUNTIF(L13:Z13,"AR"))</x:f>
        <x:v>1</x:v>
      </x:c>
      <x:c r="AB13" s="32" t="n">
        <x:f>IF(B13="","",COUNTIF(L13:Z13,"R")+COUNTIF(L13:Z13,"AR"))</x:f>
        <x:v>2</x:v>
      </x:c>
      <x:c r="AC13" s="32" t="n">
        <x:f>IF(B13="","",COUNTIF(L13:Z13,"C"))</x:f>
        <x:v>7</x:v>
      </x:c>
      <x:c r="AD13" s="32" t="n">
        <x:f>IF(B13="","",COUNTIF(L13:Z13,"I"))</x:f>
        <x:v>5</x:v>
      </x:c>
      <x:c r="AE13" s="32" t="str">
        <x:f>IF(B13="","",IF(AND(AA13=1,AB13&gt;=1),"Healthy",IF(AA13=0,"Missing A",IF(AA13&gt;1,"Multiple A","Missing R"))))</x:f>
        <x:v>Healthy</x:v>
      </x:c>
    </x:row>
    <x:row r="14">
      <x:c r="A14" s="20" t="str">
        <x:v>D-10</x:v>
      </x:c>
      <x:c r="B14" s="20" t="str">
        <x:v>Approve policy or control exception</x:v>
      </x:c>
      <x:c r="C14" s="20" t="str">
        <x:v>Exception</x:v>
      </x:c>
      <x:c r="D14" s="20" t="str">
        <x:v>Enterprise / use case</x:v>
      </x:c>
      <x:c r="E14" s="20" t="str">
        <x:v>High</x:v>
      </x:c>
      <x:c r="F14" s="20" t="str">
        <x:v>AI Steering Committee</x:v>
      </x:c>
      <x:c r="G14" s="20" t="str">
        <x:v>Per exception</x:v>
      </x:c>
      <x:c r="H14" s="20" t="str">
        <x:v>10</x:v>
      </x:c>
      <x:c r="I14" s="20" t="str">
        <x:v>Executive Sponsor</x:v>
      </x:c>
      <x:c r="J14" s="20" t="str">
        <x:v>Exception rationale, compensating controls, owner and expiry</x:v>
      </x:c>
      <x:c r="K14" s="20" t="str">
        <x:v>AI Governance Office</x:v>
      </x:c>
      <x:c r="L14" s="20" t="str">
        <x:v>I</x:v>
      </x:c>
      <x:c r="M14" s="20" t="str">
        <x:v>C</x:v>
      </x:c>
      <x:c r="N14" s="20" t="str">
        <x:v>A</x:v>
      </x:c>
      <x:c r="O14" s="20" t="str">
        <x:v>R</x:v>
      </x:c>
      <x:c r="P14" s="20" t="str">
        <x:v>R</x:v>
      </x:c>
      <x:c r="Q14" s="20" t="str">
        <x:v>R</x:v>
      </x:c>
      <x:c r="R14" s="20" t="str">
        <x:v>C</x:v>
      </x:c>
      <x:c r="S14" s="20" t="str">
        <x:v>C</x:v>
      </x:c>
      <x:c r="T14" s="20" t="str">
        <x:v>C</x:v>
      </x:c>
      <x:c r="U14" s="20" t="str">
        <x:v>C</x:v>
      </x:c>
      <x:c r="V14" s="20" t="str">
        <x:v>C</x:v>
      </x:c>
      <x:c r="W14" s="20" t="str">
        <x:v>C</x:v>
      </x:c>
      <x:c r="X14" s="20" t="str">
        <x:v>I</x:v>
      </x:c>
      <x:c r="Y14" s="20" t="str">
        <x:v>C</x:v>
      </x:c>
      <x:c r="Z14" s="20" t="str">
        <x:v>I</x:v>
      </x:c>
      <x:c r="AA14" s="32" t="n">
        <x:f>IF(B14="","",COUNTIF(L14:Z14,"A")+COUNTIF(L14:Z14,"AR"))</x:f>
        <x:v>1</x:v>
      </x:c>
      <x:c r="AB14" s="32" t="n">
        <x:f>IF(B14="","",COUNTIF(L14:Z14,"R")+COUNTIF(L14:Z14,"AR"))</x:f>
        <x:v>3</x:v>
      </x:c>
      <x:c r="AC14" s="32" t="n">
        <x:f>IF(B14="","",COUNTIF(L14:Z14,"C"))</x:f>
        <x:v>8</x:v>
      </x:c>
      <x:c r="AD14" s="32" t="n">
        <x:f>IF(B14="","",COUNTIF(L14:Z14,"I"))</x:f>
        <x:v>3</x:v>
      </x:c>
      <x:c r="AE14" s="32" t="str">
        <x:f>IF(B14="","",IF(AND(AA14=1,AB14&gt;=1),"Healthy",IF(AA14=0,"Missing A",IF(AA14&gt;1,"Multiple A","Missing R"))))</x:f>
        <x:v>Healthy</x:v>
      </x:c>
    </x:row>
    <x:row r="15">
      <x:c r="A15" s="20" t="str">
        <x:v>D-11</x:v>
      </x:c>
      <x:c r="B15" s="20" t="str">
        <x:v>Suspend system or invoke kill switch</x:v>
      </x:c>
      <x:c r="C15" s="20" t="str">
        <x:v>Incident</x:v>
      </x:c>
      <x:c r="D15" s="20" t="str">
        <x:v>Production</x:v>
      </x:c>
      <x:c r="E15" s="20" t="str">
        <x:v>Critical</x:v>
      </x:c>
      <x:c r="F15" s="20" t="str">
        <x:v>Business / Product Owner</x:v>
      </x:c>
      <x:c r="G15" s="20" t="str">
        <x:v>Event driven</x:v>
      </x:c>
      <x:c r="H15" s="20" t="str">
        <x:v>0</x:v>
      </x:c>
      <x:c r="I15" s="20" t="str">
        <x:v>Executive Sponsor</x:v>
      </x:c>
      <x:c r="J15" s="20" t="str">
        <x:v>Incident trigger, containment evidence and notification record</x:v>
      </x:c>
      <x:c r="K15" s="20" t="str">
        <x:v>Operations / Service Owner</x:v>
      </x:c>
      <x:c r="L15" s="20" t="str">
        <x:v>I</x:v>
      </x:c>
      <x:c r="M15" s="20" t="str">
        <x:v>I</x:v>
      </x:c>
      <x:c r="N15" s="20" t="str">
        <x:v>I</x:v>
      </x:c>
      <x:c r="O15" s="20" t="str">
        <x:v>A</x:v>
      </x:c>
      <x:c r="P15" s="20" t="str">
        <x:v>R</x:v>
      </x:c>
      <x:c r="Q15" s="20" t="str">
        <x:v>R</x:v>
      </x:c>
      <x:c r="R15" s="20" t="str">
        <x:v>C</x:v>
      </x:c>
      <x:c r="S15" s="20" t="str">
        <x:v>R</x:v>
      </x:c>
      <x:c r="T15" s="20" t="str">
        <x:v>C</x:v>
      </x:c>
      <x:c r="U15" s="20" t="str">
        <x:v>C</x:v>
      </x:c>
      <x:c r="V15" s="20" t="str">
        <x:v>C</x:v>
      </x:c>
      <x:c r="W15" s="20" t="str">
        <x:v>R</x:v>
      </x:c>
      <x:c r="X15" s="20" t="str">
        <x:v>R</x:v>
      </x:c>
      <x:c r="Y15" s="20" t="str">
        <x:v>C</x:v>
      </x:c>
      <x:c r="Z15" s="20" t="str">
        <x:v>I</x:v>
      </x:c>
      <x:c r="AA15" s="32" t="n">
        <x:f>IF(B15="","",COUNTIF(L15:Z15,"A")+COUNTIF(L15:Z15,"AR"))</x:f>
        <x:v>1</x:v>
      </x:c>
      <x:c r="AB15" s="32" t="n">
        <x:f>IF(B15="","",COUNTIF(L15:Z15,"R")+COUNTIF(L15:Z15,"AR"))</x:f>
        <x:v>5</x:v>
      </x:c>
      <x:c r="AC15" s="32" t="n">
        <x:f>IF(B15="","",COUNTIF(L15:Z15,"C"))</x:f>
        <x:v>5</x:v>
      </x:c>
      <x:c r="AD15" s="32" t="n">
        <x:f>IF(B15="","",COUNTIF(L15:Z15,"I"))</x:f>
        <x:v>4</x:v>
      </x:c>
      <x:c r="AE15" s="32" t="str">
        <x:f>IF(B15="","",IF(AND(AA15=1,AB15&gt;=1),"Healthy",IF(AA15=0,"Missing A",IF(AA15&gt;1,"Multiple A","Missing R"))))</x:f>
        <x:v>Healthy</x:v>
      </x:c>
    </x:row>
    <x:row r="16">
      <x:c r="A16" s="21" t="str">
        <x:v>D-12</x:v>
      </x:c>
      <x:c r="B16" s="21" t="str">
        <x:v>Close a material assurance finding</x:v>
      </x:c>
      <x:c r="C16" s="21" t="str">
        <x:v>Assurance</x:v>
      </x:c>
      <x:c r="D16" s="21" t="str">
        <x:v>Enterprise / use case</x:v>
      </x:c>
      <x:c r="E16" s="21" t="str">
        <x:v>High</x:v>
      </x:c>
      <x:c r="F16" s="21" t="str">
        <x:v>Enterprise Risk / Compliance</x:v>
      </x:c>
      <x:c r="G16" s="21" t="str">
        <x:v>Per finding</x:v>
      </x:c>
      <x:c r="H16" s="21" t="str">
        <x:v>20</x:v>
      </x:c>
      <x:c r="I16" s="21" t="str">
        <x:v>Audit Committee</x:v>
      </x:c>
      <x:c r="J16" s="21" t="str">
        <x:v>Remediation evidence, retest and closure approval</x:v>
      </x:c>
      <x:c r="K16" s="21" t="str">
        <x:v>Control Owner</x:v>
      </x:c>
      <x:c r="L16" s="21" t="str">
        <x:v>I</x:v>
      </x:c>
      <x:c r="M16" s="21" t="str">
        <x:v>I</x:v>
      </x:c>
      <x:c r="N16" s="21" t="str">
        <x:v>C</x:v>
      </x:c>
      <x:c r="O16" s="21" t="str">
        <x:v>R</x:v>
      </x:c>
      <x:c r="P16" s="21" t="str">
        <x:v>C</x:v>
      </x:c>
      <x:c r="Q16" s="21" t="str">
        <x:v>A</x:v>
      </x:c>
      <x:c r="R16" s="21" t="str">
        <x:v>C</x:v>
      </x:c>
      <x:c r="S16" s="21" t="str">
        <x:v>C</x:v>
      </x:c>
      <x:c r="T16" s="21" t="str">
        <x:v>C</x:v>
      </x:c>
      <x:c r="U16" s="21" t="str">
        <x:v>C</x:v>
      </x:c>
      <x:c r="V16" s="21" t="str">
        <x:v>C</x:v>
      </x:c>
      <x:c r="W16" s="21" t="str">
        <x:v>R</x:v>
      </x:c>
      <x:c r="X16" s="21" t="str">
        <x:v>R</x:v>
      </x:c>
      <x:c r="Y16" s="21" t="str">
        <x:v>C</x:v>
      </x:c>
      <x:c r="Z16" s="21" t="str">
        <x:v>R</x:v>
      </x:c>
      <x:c r="AA16" s="33" t="n">
        <x:f>IF(B16="","",COUNTIF(L16:Z16,"A")+COUNTIF(L16:Z16,"AR"))</x:f>
        <x:v>1</x:v>
      </x:c>
      <x:c r="AB16" s="33" t="n">
        <x:f>IF(B16="","",COUNTIF(L16:Z16,"R")+COUNTIF(L16:Z16,"AR"))</x:f>
        <x:v>4</x:v>
      </x:c>
      <x:c r="AC16" s="33" t="n">
        <x:f>IF(B16="","",COUNTIF(L16:Z16,"C"))</x:f>
        <x:v>8</x:v>
      </x:c>
      <x:c r="AD16" s="33" t="n">
        <x:f>IF(B16="","",COUNTIF(L16:Z16,"I"))</x:f>
        <x:v>2</x:v>
      </x:c>
      <x:c r="AE16" s="33" t="str">
        <x:f>IF(B16="","",IF(AND(AA16=1,AB16&gt;=1),"Healthy",IF(AA16=0,"Missing A",IF(AA16&gt;1,"Multiple A","Missing R"))))</x:f>
        <x:v>Healthy</x:v>
      </x:c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54" t="str">
        <x:f>IF(B17="","",COUNTIF(L17:Z17,"A")+COUNTIF(L17:Z17,"AR"))</x:f>
      </x:c>
      <x:c r="AB17" s="54" t="str">
        <x:f>IF(B17="","",COUNTIF(L17:Z17,"R")+COUNTIF(L17:Z17,"AR"))</x:f>
      </x:c>
      <x:c r="AC17" s="54" t="str">
        <x:f>IF(B17="","",COUNTIF(L17:Z17,"C"))</x:f>
      </x:c>
      <x:c r="AD17" s="54" t="str">
        <x:f>IF(B17="","",COUNTIF(L17:Z17,"I"))</x:f>
      </x:c>
      <x:c r="AE17" s="54" t="str">
        <x:f>IF(B17="","",IF(AND(AA17=1,AB17&gt;=1),"Healthy",IF(AA17=0,"Missing A",IF(AA17&gt;1,"Multiple A","Missing R"))))</x:f>
      </x:c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54" t="str">
        <x:f>IF(B18="","",COUNTIF(L18:Z18,"A")+COUNTIF(L18:Z18,"AR"))</x:f>
      </x:c>
      <x:c r="AB18" s="54" t="str">
        <x:f>IF(B18="","",COUNTIF(L18:Z18,"R")+COUNTIF(L18:Z18,"AR"))</x:f>
      </x:c>
      <x:c r="AC18" s="54" t="str">
        <x:f>IF(B18="","",COUNTIF(L18:Z18,"C"))</x:f>
      </x:c>
      <x:c r="AD18" s="54" t="str">
        <x:f>IF(B18="","",COUNTIF(L18:Z18,"I"))</x:f>
      </x:c>
      <x:c r="AE18" s="54" t="str">
        <x:f>IF(B18="","",IF(AND(AA18=1,AB18&gt;=1),"Healthy",IF(AA18=0,"Missing A",IF(AA18&gt;1,"Multiple A","Missing R"))))</x:f>
      </x:c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54" t="str">
        <x:f>IF(B19="","",COUNTIF(L19:Z19,"A")+COUNTIF(L19:Z19,"AR"))</x:f>
      </x:c>
      <x:c r="AB19" s="54" t="str">
        <x:f>IF(B19="","",COUNTIF(L19:Z19,"R")+COUNTIF(L19:Z19,"AR"))</x:f>
      </x:c>
      <x:c r="AC19" s="54" t="str">
        <x:f>IF(B19="","",COUNTIF(L19:Z19,"C"))</x:f>
      </x:c>
      <x:c r="AD19" s="54" t="str">
        <x:f>IF(B19="","",COUNTIF(L19:Z19,"I"))</x:f>
      </x:c>
      <x:c r="AE19" s="54" t="str">
        <x:f>IF(B19="","",IF(AND(AA19=1,AB19&gt;=1),"Healthy",IF(AA19=0,"Missing A",IF(AA19&gt;1,"Multiple A","Missing R"))))</x:f>
      </x:c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54" t="str">
        <x:f>IF(B20="","",COUNTIF(L20:Z20,"A")+COUNTIF(L20:Z20,"AR"))</x:f>
      </x:c>
      <x:c r="AB20" s="54" t="str">
        <x:f>IF(B20="","",COUNTIF(L20:Z20,"R")+COUNTIF(L20:Z20,"AR"))</x:f>
      </x:c>
      <x:c r="AC20" s="54" t="str">
        <x:f>IF(B20="","",COUNTIF(L20:Z20,"C"))</x:f>
      </x:c>
      <x:c r="AD20" s="54" t="str">
        <x:f>IF(B20="","",COUNTIF(L20:Z20,"I"))</x:f>
      </x:c>
      <x:c r="AE20" s="54" t="str">
        <x:f>IF(B20="","",IF(AND(AA20=1,AB20&gt;=1),"Healthy",IF(AA20=0,"Missing A",IF(AA20&gt;1,"Multiple A","Missing R"))))</x:f>
      </x:c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54" t="str">
        <x:f>IF(B21="","",COUNTIF(L21:Z21,"A")+COUNTIF(L21:Z21,"AR"))</x:f>
      </x:c>
      <x:c r="AB21" s="54" t="str">
        <x:f>IF(B21="","",COUNTIF(L21:Z21,"R")+COUNTIF(L21:Z21,"AR"))</x:f>
      </x:c>
      <x:c r="AC21" s="54" t="str">
        <x:f>IF(B21="","",COUNTIF(L21:Z21,"C"))</x:f>
      </x:c>
      <x:c r="AD21" s="54" t="str">
        <x:f>IF(B21="","",COUNTIF(L21:Z21,"I"))</x:f>
      </x:c>
      <x:c r="AE21" s="54" t="str">
        <x:f>IF(B21="","",IF(AND(AA21=1,AB21&gt;=1),"Healthy",IF(AA21=0,"Missing A",IF(AA21&gt;1,"Multiple A","Missing R"))))</x:f>
      </x:c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54" t="str">
        <x:f>IF(B22="","",COUNTIF(L22:Z22,"A")+COUNTIF(L22:Z22,"AR"))</x:f>
      </x:c>
      <x:c r="AB22" s="54" t="str">
        <x:f>IF(B22="","",COUNTIF(L22:Z22,"R")+COUNTIF(L22:Z22,"AR"))</x:f>
      </x:c>
      <x:c r="AC22" s="54" t="str">
        <x:f>IF(B22="","",COUNTIF(L22:Z22,"C"))</x:f>
      </x:c>
      <x:c r="AD22" s="54" t="str">
        <x:f>IF(B22="","",COUNTIF(L22:Z22,"I"))</x:f>
      </x:c>
      <x:c r="AE22" s="54" t="str">
        <x:f>IF(B22="","",IF(AND(AA22=1,AB22&gt;=1),"Healthy",IF(AA22=0,"Missing A",IF(AA22&gt;1,"Multiple A","Missing R"))))</x:f>
      </x:c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54" t="str">
        <x:f>IF(B23="","",COUNTIF(L23:Z23,"A")+COUNTIF(L23:Z23,"AR"))</x:f>
      </x:c>
      <x:c r="AB23" s="54" t="str">
        <x:f>IF(B23="","",COUNTIF(L23:Z23,"R")+COUNTIF(L23:Z23,"AR"))</x:f>
      </x:c>
      <x:c r="AC23" s="54" t="str">
        <x:f>IF(B23="","",COUNTIF(L23:Z23,"C"))</x:f>
      </x:c>
      <x:c r="AD23" s="54" t="str">
        <x:f>IF(B23="","",COUNTIF(L23:Z23,"I"))</x:f>
      </x:c>
      <x:c r="AE23" s="54" t="str">
        <x:f>IF(B23="","",IF(AND(AA23=1,AB23&gt;=1),"Healthy",IF(AA23=0,"Missing A",IF(AA23&gt;1,"Multiple A","Missing R"))))</x:f>
      </x:c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54" t="str">
        <x:f>IF(B24="","",COUNTIF(L24:Z24,"A")+COUNTIF(L24:Z24,"AR"))</x:f>
      </x:c>
      <x:c r="AB24" s="54" t="str">
        <x:f>IF(B24="","",COUNTIF(L24:Z24,"R")+COUNTIF(L24:Z24,"AR"))</x:f>
      </x:c>
      <x:c r="AC24" s="54" t="str">
        <x:f>IF(B24="","",COUNTIF(L24:Z24,"C"))</x:f>
      </x:c>
      <x:c r="AD24" s="54" t="str">
        <x:f>IF(B24="","",COUNTIF(L24:Z24,"I"))</x:f>
      </x:c>
      <x:c r="AE24" s="54" t="str">
        <x:f>IF(B24="","",IF(AND(AA24=1,AB24&gt;=1),"Healthy",IF(AA24=0,"Missing A",IF(AA24&gt;1,"Multiple A","Missing R"))))</x:f>
      </x:c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54" t="str">
        <x:f>IF(B25="","",COUNTIF(L25:Z25,"A")+COUNTIF(L25:Z25,"AR"))</x:f>
      </x:c>
      <x:c r="AB25" s="54" t="str">
        <x:f>IF(B25="","",COUNTIF(L25:Z25,"R")+COUNTIF(L25:Z25,"AR"))</x:f>
      </x:c>
      <x:c r="AC25" s="54" t="str">
        <x:f>IF(B25="","",COUNTIF(L25:Z25,"C"))</x:f>
      </x:c>
      <x:c r="AD25" s="54" t="str">
        <x:f>IF(B25="","",COUNTIF(L25:Z25,"I"))</x:f>
      </x:c>
      <x:c r="AE25" s="54" t="str">
        <x:f>IF(B25="","",IF(AND(AA25=1,AB25&gt;=1),"Healthy",IF(AA25=0,"Missing A",IF(AA25&gt;1,"Multiple A","Missing R"))))</x:f>
      </x:c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54" t="str">
        <x:f>IF(B26="","",COUNTIF(L26:Z26,"A")+COUNTIF(L26:Z26,"AR"))</x:f>
      </x:c>
      <x:c r="AB26" s="54" t="str">
        <x:f>IF(B26="","",COUNTIF(L26:Z26,"R")+COUNTIF(L26:Z26,"AR"))</x:f>
      </x:c>
      <x:c r="AC26" s="54" t="str">
        <x:f>IF(B26="","",COUNTIF(L26:Z26,"C"))</x:f>
      </x:c>
      <x:c r="AD26" s="54" t="str">
        <x:f>IF(B26="","",COUNTIF(L26:Z26,"I"))</x:f>
      </x:c>
      <x:c r="AE26" s="54" t="str">
        <x:f>IF(B26="","",IF(AND(AA26=1,AB26&gt;=1),"Healthy",IF(AA26=0,"Missing A",IF(AA26&gt;1,"Multiple A","Missing R"))))</x:f>
      </x:c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54" t="str">
        <x:f>IF(B27="","",COUNTIF(L27:Z27,"A")+COUNTIF(L27:Z27,"AR"))</x:f>
      </x:c>
      <x:c r="AB27" s="54" t="str">
        <x:f>IF(B27="","",COUNTIF(L27:Z27,"R")+COUNTIF(L27:Z27,"AR"))</x:f>
      </x:c>
      <x:c r="AC27" s="54" t="str">
        <x:f>IF(B27="","",COUNTIF(L27:Z27,"C"))</x:f>
      </x:c>
      <x:c r="AD27" s="54" t="str">
        <x:f>IF(B27="","",COUNTIF(L27:Z27,"I"))</x:f>
      </x:c>
      <x:c r="AE27" s="54" t="str">
        <x:f>IF(B27="","",IF(AND(AA27=1,AB27&gt;=1),"Healthy",IF(AA27=0,"Missing A",IF(AA27&gt;1,"Multiple A","Missing R"))))</x:f>
      </x:c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54" t="str">
        <x:f>IF(B28="","",COUNTIF(L28:Z28,"A")+COUNTIF(L28:Z28,"AR"))</x:f>
      </x:c>
      <x:c r="AB28" s="54" t="str">
        <x:f>IF(B28="","",COUNTIF(L28:Z28,"R")+COUNTIF(L28:Z28,"AR"))</x:f>
      </x:c>
      <x:c r="AC28" s="54" t="str">
        <x:f>IF(B28="","",COUNTIF(L28:Z28,"C"))</x:f>
      </x:c>
      <x:c r="AD28" s="54" t="str">
        <x:f>IF(B28="","",COUNTIF(L28:Z28,"I"))</x:f>
      </x:c>
      <x:c r="AE28" s="54" t="str">
        <x:f>IF(B28="","",IF(AND(AA28=1,AB28&gt;=1),"Healthy",IF(AA28=0,"Missing A",IF(AA28&gt;1,"Multiple A","Missing R"))))</x:f>
      </x:c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54" t="str">
        <x:f>IF(B29="","",COUNTIF(L29:Z29,"A")+COUNTIF(L29:Z29,"AR"))</x:f>
      </x:c>
      <x:c r="AB29" s="54" t="str">
        <x:f>IF(B29="","",COUNTIF(L29:Z29,"R")+COUNTIF(L29:Z29,"AR"))</x:f>
      </x:c>
      <x:c r="AC29" s="54" t="str">
        <x:f>IF(B29="","",COUNTIF(L29:Z29,"C"))</x:f>
      </x:c>
      <x:c r="AD29" s="54" t="str">
        <x:f>IF(B29="","",COUNTIF(L29:Z29,"I"))</x:f>
      </x:c>
      <x:c r="AE29" s="54" t="str">
        <x:f>IF(B29="","",IF(AND(AA29=1,AB29&gt;=1),"Healthy",IF(AA29=0,"Missing A",IF(AA29&gt;1,"Multiple A","Missing R"))))</x:f>
      </x:c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54" t="str">
        <x:f>IF(B30="","",COUNTIF(L30:Z30,"A")+COUNTIF(L30:Z30,"AR"))</x:f>
      </x:c>
      <x:c r="AB30" s="54" t="str">
        <x:f>IF(B30="","",COUNTIF(L30:Z30,"R")+COUNTIF(L30:Z30,"AR"))</x:f>
      </x:c>
      <x:c r="AC30" s="54" t="str">
        <x:f>IF(B30="","",COUNTIF(L30:Z30,"C"))</x:f>
      </x:c>
      <x:c r="AD30" s="54" t="str">
        <x:f>IF(B30="","",COUNTIF(L30:Z30,"I"))</x:f>
      </x:c>
      <x:c r="AE30" s="54" t="str">
        <x:f>IF(B30="","",IF(AND(AA30=1,AB30&gt;=1),"Healthy",IF(AA30=0,"Missing A",IF(AA30&gt;1,"Multiple A","Missing R"))))</x:f>
      </x:c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54" t="str">
        <x:f>IF(B31="","",COUNTIF(L31:Z31,"A")+COUNTIF(L31:Z31,"AR"))</x:f>
      </x:c>
      <x:c r="AB31" s="54" t="str">
        <x:f>IF(B31="","",COUNTIF(L31:Z31,"R")+COUNTIF(L31:Z31,"AR"))</x:f>
      </x:c>
      <x:c r="AC31" s="54" t="str">
        <x:f>IF(B31="","",COUNTIF(L31:Z31,"C"))</x:f>
      </x:c>
      <x:c r="AD31" s="54" t="str">
        <x:f>IF(B31="","",COUNTIF(L31:Z31,"I"))</x:f>
      </x:c>
      <x:c r="AE31" s="54" t="str">
        <x:f>IF(B31="","",IF(AND(AA31=1,AB31&gt;=1),"Healthy",IF(AA31=0,"Missing A",IF(AA31&gt;1,"Multiple A","Missing R"))))</x:f>
      </x:c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54" t="str">
        <x:f>IF(B32="","",COUNTIF(L32:Z32,"A")+COUNTIF(L32:Z32,"AR"))</x:f>
      </x:c>
      <x:c r="AB32" s="54" t="str">
        <x:f>IF(B32="","",COUNTIF(L32:Z32,"R")+COUNTIF(L32:Z32,"AR"))</x:f>
      </x:c>
      <x:c r="AC32" s="54" t="str">
        <x:f>IF(B32="","",COUNTIF(L32:Z32,"C"))</x:f>
      </x:c>
      <x:c r="AD32" s="54" t="str">
        <x:f>IF(B32="","",COUNTIF(L32:Z32,"I"))</x:f>
      </x:c>
      <x:c r="AE32" s="54" t="str">
        <x:f>IF(B32="","",IF(AND(AA32=1,AB32&gt;=1),"Healthy",IF(AA32=0,"Missing A",IF(AA32&gt;1,"Multiple A","Missing R"))))</x:f>
      </x:c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54" t="str">
        <x:f>IF(B33="","",COUNTIF(L33:Z33,"A")+COUNTIF(L33:Z33,"AR"))</x:f>
      </x:c>
      <x:c r="AB33" s="54" t="str">
        <x:f>IF(B33="","",COUNTIF(L33:Z33,"R")+COUNTIF(L33:Z33,"AR"))</x:f>
      </x:c>
      <x:c r="AC33" s="54" t="str">
        <x:f>IF(B33="","",COUNTIF(L33:Z33,"C"))</x:f>
      </x:c>
      <x:c r="AD33" s="54" t="str">
        <x:f>IF(B33="","",COUNTIF(L33:Z33,"I"))</x:f>
      </x:c>
      <x:c r="AE33" s="54" t="str">
        <x:f>IF(B33="","",IF(AND(AA33=1,AB33&gt;=1),"Healthy",IF(AA33=0,"Missing A",IF(AA33&gt;1,"Multiple A","Missing R"))))</x:f>
      </x:c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54" t="str">
        <x:f>IF(B34="","",COUNTIF(L34:Z34,"A")+COUNTIF(L34:Z34,"AR"))</x:f>
      </x:c>
      <x:c r="AB34" s="54" t="str">
        <x:f>IF(B34="","",COUNTIF(L34:Z34,"R")+COUNTIF(L34:Z34,"AR"))</x:f>
      </x:c>
      <x:c r="AC34" s="54" t="str">
        <x:f>IF(B34="","",COUNTIF(L34:Z34,"C"))</x:f>
      </x:c>
      <x:c r="AD34" s="54" t="str">
        <x:f>IF(B34="","",COUNTIF(L34:Z34,"I"))</x:f>
      </x:c>
      <x:c r="AE34" s="54" t="str">
        <x:f>IF(B34="","",IF(AND(AA34=1,AB34&gt;=1),"Healthy",IF(AA34=0,"Missing A",IF(AA34&gt;1,"Multiple A","Missing R"))))</x:f>
      </x:c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54" t="str">
        <x:f>IF(B35="","",COUNTIF(L35:Z35,"A")+COUNTIF(L35:Z35,"AR"))</x:f>
      </x:c>
      <x:c r="AB35" s="54" t="str">
        <x:f>IF(B35="","",COUNTIF(L35:Z35,"R")+COUNTIF(L35:Z35,"AR"))</x:f>
      </x:c>
      <x:c r="AC35" s="54" t="str">
        <x:f>IF(B35="","",COUNTIF(L35:Z35,"C"))</x:f>
      </x:c>
      <x:c r="AD35" s="54" t="str">
        <x:f>IF(B35="","",COUNTIF(L35:Z35,"I"))</x:f>
      </x:c>
      <x:c r="AE35" s="54" t="str">
        <x:f>IF(B35="","",IF(AND(AA35=1,AB35&gt;=1),"Healthy",IF(AA35=0,"Missing A",IF(AA35&gt;1,"Multiple A","Missing R"))))</x:f>
      </x:c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54" t="str">
        <x:f>IF(B36="","",COUNTIF(L36:Z36,"A")+COUNTIF(L36:Z36,"AR"))</x:f>
      </x:c>
      <x:c r="AB36" s="54" t="str">
        <x:f>IF(B36="","",COUNTIF(L36:Z36,"R")+COUNTIF(L36:Z36,"AR"))</x:f>
      </x:c>
      <x:c r="AC36" s="54" t="str">
        <x:f>IF(B36="","",COUNTIF(L36:Z36,"C"))</x:f>
      </x:c>
      <x:c r="AD36" s="54" t="str">
        <x:f>IF(B36="","",COUNTIF(L36:Z36,"I"))</x:f>
      </x:c>
      <x:c r="AE36" s="54" t="str">
        <x:f>IF(B36="","",IF(AND(AA36=1,AB36&gt;=1),"Healthy",IF(AA36=0,"Missing A",IF(AA36&gt;1,"Multiple A","Missing R"))))</x:f>
      </x:c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54" t="str">
        <x:f>IF(B37="","",COUNTIF(L37:Z37,"A")+COUNTIF(L37:Z37,"AR"))</x:f>
      </x:c>
      <x:c r="AB37" s="54" t="str">
        <x:f>IF(B37="","",COUNTIF(L37:Z37,"R")+COUNTIF(L37:Z37,"AR"))</x:f>
      </x:c>
      <x:c r="AC37" s="54" t="str">
        <x:f>IF(B37="","",COUNTIF(L37:Z37,"C"))</x:f>
      </x:c>
      <x:c r="AD37" s="54" t="str">
        <x:f>IF(B37="","",COUNTIF(L37:Z37,"I"))</x:f>
      </x:c>
      <x:c r="AE37" s="54" t="str">
        <x:f>IF(B37="","",IF(AND(AA37=1,AB37&gt;=1),"Healthy",IF(AA37=0,"Missing A",IF(AA37&gt;1,"Multiple A","Missing R"))))</x:f>
      </x:c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54" t="str">
        <x:f>IF(B38="","",COUNTIF(L38:Z38,"A")+COUNTIF(L38:Z38,"AR"))</x:f>
      </x:c>
      <x:c r="AB38" s="54" t="str">
        <x:f>IF(B38="","",COUNTIF(L38:Z38,"R")+COUNTIF(L38:Z38,"AR"))</x:f>
      </x:c>
      <x:c r="AC38" s="54" t="str">
        <x:f>IF(B38="","",COUNTIF(L38:Z38,"C"))</x:f>
      </x:c>
      <x:c r="AD38" s="54" t="str">
        <x:f>IF(B38="","",COUNTIF(L38:Z38,"I"))</x:f>
      </x:c>
      <x:c r="AE38" s="54" t="str">
        <x:f>IF(B38="","",IF(AND(AA38=1,AB38&gt;=1),"Healthy",IF(AA38=0,"Missing A",IF(AA38&gt;1,"Multiple A","Missing R"))))</x:f>
      </x:c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54" t="str">
        <x:f>IF(B39="","",COUNTIF(L39:Z39,"A")+COUNTIF(L39:Z39,"AR"))</x:f>
      </x:c>
      <x:c r="AB39" s="54" t="str">
        <x:f>IF(B39="","",COUNTIF(L39:Z39,"R")+COUNTIF(L39:Z39,"AR"))</x:f>
      </x:c>
      <x:c r="AC39" s="54" t="str">
        <x:f>IF(B39="","",COUNTIF(L39:Z39,"C"))</x:f>
      </x:c>
      <x:c r="AD39" s="54" t="str">
        <x:f>IF(B39="","",COUNTIF(L39:Z39,"I"))</x:f>
      </x:c>
      <x:c r="AE39" s="54" t="str">
        <x:f>IF(B39="","",IF(AND(AA39=1,AB39&gt;=1),"Healthy",IF(AA39=0,"Missing A",IF(AA39&gt;1,"Multiple A","Missing R"))))</x:f>
      </x:c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54" t="str">
        <x:f>IF(B40="","",COUNTIF(L40:Z40,"A")+COUNTIF(L40:Z40,"AR"))</x:f>
      </x:c>
      <x:c r="AB40" s="54" t="str">
        <x:f>IF(B40="","",COUNTIF(L40:Z40,"R")+COUNTIF(L40:Z40,"AR"))</x:f>
      </x:c>
      <x:c r="AC40" s="54" t="str">
        <x:f>IF(B40="","",COUNTIF(L40:Z40,"C"))</x:f>
      </x:c>
      <x:c r="AD40" s="54" t="str">
        <x:f>IF(B40="","",COUNTIF(L40:Z40,"I"))</x:f>
      </x:c>
      <x:c r="AE40" s="54" t="str">
        <x:f>IF(B40="","",IF(AND(AA40=1,AB40&gt;=1),"Healthy",IF(AA40=0,"Missing A",IF(AA40&gt;1,"Multiple A","Missing R"))))</x:f>
      </x:c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54" t="str">
        <x:f>IF(B41="","",COUNTIF(L41:Z41,"A")+COUNTIF(L41:Z41,"AR"))</x:f>
      </x:c>
      <x:c r="AB41" s="54" t="str">
        <x:f>IF(B41="","",COUNTIF(L41:Z41,"R")+COUNTIF(L41:Z41,"AR"))</x:f>
      </x:c>
      <x:c r="AC41" s="54" t="str">
        <x:f>IF(B41="","",COUNTIF(L41:Z41,"C"))</x:f>
      </x:c>
      <x:c r="AD41" s="54" t="str">
        <x:f>IF(B41="","",COUNTIF(L41:Z41,"I"))</x:f>
      </x:c>
      <x:c r="AE41" s="54" t="str">
        <x:f>IF(B41="","",IF(AND(AA41=1,AB41&gt;=1),"Healthy",IF(AA41=0,"Missing A",IF(AA41&gt;1,"Multiple A","Missing R"))))</x:f>
      </x:c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54" t="str">
        <x:f>IF(B42="","",COUNTIF(L42:Z42,"A")+COUNTIF(L42:Z42,"AR"))</x:f>
      </x:c>
      <x:c r="AB42" s="54" t="str">
        <x:f>IF(B42="","",COUNTIF(L42:Z42,"R")+COUNTIF(L42:Z42,"AR"))</x:f>
      </x:c>
      <x:c r="AC42" s="54" t="str">
        <x:f>IF(B42="","",COUNTIF(L42:Z42,"C"))</x:f>
      </x:c>
      <x:c r="AD42" s="54" t="str">
        <x:f>IF(B42="","",COUNTIF(L42:Z42,"I"))</x:f>
      </x:c>
      <x:c r="AE42" s="54" t="str">
        <x:f>IF(B42="","",IF(AND(AA42=1,AB42&gt;=1),"Healthy",IF(AA42=0,"Missing A",IF(AA42&gt;1,"Multiple A","Missing R"))))</x:f>
      </x:c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54" t="str">
        <x:f>IF(B43="","",COUNTIF(L43:Z43,"A")+COUNTIF(L43:Z43,"AR"))</x:f>
      </x:c>
      <x:c r="AB43" s="54" t="str">
        <x:f>IF(B43="","",COUNTIF(L43:Z43,"R")+COUNTIF(L43:Z43,"AR"))</x:f>
      </x:c>
      <x:c r="AC43" s="54" t="str">
        <x:f>IF(B43="","",COUNTIF(L43:Z43,"C"))</x:f>
      </x:c>
      <x:c r="AD43" s="54" t="str">
        <x:f>IF(B43="","",COUNTIF(L43:Z43,"I"))</x:f>
      </x:c>
      <x:c r="AE43" s="54" t="str">
        <x:f>IF(B43="","",IF(AND(AA43=1,AB43&gt;=1),"Healthy",IF(AA43=0,"Missing A",IF(AA43&gt;1,"Multiple A","Missing R"))))</x:f>
      </x:c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54" t="str">
        <x:f>IF(B44="","",COUNTIF(L44:Z44,"A")+COUNTIF(L44:Z44,"AR"))</x:f>
      </x:c>
      <x:c r="AB44" s="54" t="str">
        <x:f>IF(B44="","",COUNTIF(L44:Z44,"R")+COUNTIF(L44:Z44,"AR"))</x:f>
      </x:c>
      <x:c r="AC44" s="54" t="str">
        <x:f>IF(B44="","",COUNTIF(L44:Z44,"C"))</x:f>
      </x:c>
      <x:c r="AD44" s="54" t="str">
        <x:f>IF(B44="","",COUNTIF(L44:Z44,"I"))</x:f>
      </x:c>
      <x:c r="AE44" s="54" t="str">
        <x:f>IF(B44="","",IF(AND(AA44=1,AB44&gt;=1),"Healthy",IF(AA44=0,"Missing A",IF(AA44&gt;1,"Multiple A","Missing R"))))</x:f>
      </x:c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54" t="str">
        <x:f>IF(B45="","",COUNTIF(L45:Z45,"A")+COUNTIF(L45:Z45,"AR"))</x:f>
      </x:c>
      <x:c r="AB45" s="54" t="str">
        <x:f>IF(B45="","",COUNTIF(L45:Z45,"R")+COUNTIF(L45:Z45,"AR"))</x:f>
      </x:c>
      <x:c r="AC45" s="54" t="str">
        <x:f>IF(B45="","",COUNTIF(L45:Z45,"C"))</x:f>
      </x:c>
      <x:c r="AD45" s="54" t="str">
        <x:f>IF(B45="","",COUNTIF(L45:Z45,"I"))</x:f>
      </x:c>
      <x:c r="AE45" s="54" t="str">
        <x:f>IF(B45="","",IF(AND(AA45=1,AB45&gt;=1),"Healthy",IF(AA45=0,"Missing A",IF(AA45&gt;1,"Multiple A","Missing R"))))</x:f>
      </x:c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54" t="str">
        <x:f>IF(B46="","",COUNTIF(L46:Z46,"A")+COUNTIF(L46:Z46,"AR"))</x:f>
      </x:c>
      <x:c r="AB46" s="54" t="str">
        <x:f>IF(B46="","",COUNTIF(L46:Z46,"R")+COUNTIF(L46:Z46,"AR"))</x:f>
      </x:c>
      <x:c r="AC46" s="54" t="str">
        <x:f>IF(B46="","",COUNTIF(L46:Z46,"C"))</x:f>
      </x:c>
      <x:c r="AD46" s="54" t="str">
        <x:f>IF(B46="","",COUNTIF(L46:Z46,"I"))</x:f>
      </x:c>
      <x:c r="AE46" s="54" t="str">
        <x:f>IF(B46="","",IF(AND(AA46=1,AB46&gt;=1),"Healthy",IF(AA46=0,"Missing A",IF(AA46&gt;1,"Multiple A","Missing R"))))</x:f>
      </x:c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54" t="str">
        <x:f>IF(B47="","",COUNTIF(L47:Z47,"A")+COUNTIF(L47:Z47,"AR"))</x:f>
      </x:c>
      <x:c r="AB47" s="54" t="str">
        <x:f>IF(B47="","",COUNTIF(L47:Z47,"R")+COUNTIF(L47:Z47,"AR"))</x:f>
      </x:c>
      <x:c r="AC47" s="54" t="str">
        <x:f>IF(B47="","",COUNTIF(L47:Z47,"C"))</x:f>
      </x:c>
      <x:c r="AD47" s="54" t="str">
        <x:f>IF(B47="","",COUNTIF(L47:Z47,"I"))</x:f>
      </x:c>
      <x:c r="AE47" s="54" t="str">
        <x:f>IF(B47="","",IF(AND(AA47=1,AB47&gt;=1),"Healthy",IF(AA47=0,"Missing A",IF(AA47&gt;1,"Multiple A","Missing R"))))</x:f>
      </x:c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54" t="str">
        <x:f>IF(B48="","",COUNTIF(L48:Z48,"A")+COUNTIF(L48:Z48,"AR"))</x:f>
      </x:c>
      <x:c r="AB48" s="54" t="str">
        <x:f>IF(B48="","",COUNTIF(L48:Z48,"R")+COUNTIF(L48:Z48,"AR"))</x:f>
      </x:c>
      <x:c r="AC48" s="54" t="str">
        <x:f>IF(B48="","",COUNTIF(L48:Z48,"C"))</x:f>
      </x:c>
      <x:c r="AD48" s="54" t="str">
        <x:f>IF(B48="","",COUNTIF(L48:Z48,"I"))</x:f>
      </x:c>
      <x:c r="AE48" s="54" t="str">
        <x:f>IF(B48="","",IF(AND(AA48=1,AB48&gt;=1),"Healthy",IF(AA48=0,"Missing A",IF(AA48&gt;1,"Multiple A","Missing R"))))</x:f>
      </x:c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54" t="str">
        <x:f>IF(B49="","",COUNTIF(L49:Z49,"A")+COUNTIF(L49:Z49,"AR"))</x:f>
      </x:c>
      <x:c r="AB49" s="54" t="str">
        <x:f>IF(B49="","",COUNTIF(L49:Z49,"R")+COUNTIF(L49:Z49,"AR"))</x:f>
      </x:c>
      <x:c r="AC49" s="54" t="str">
        <x:f>IF(B49="","",COUNTIF(L49:Z49,"C"))</x:f>
      </x:c>
      <x:c r="AD49" s="54" t="str">
        <x:f>IF(B49="","",COUNTIF(L49:Z49,"I"))</x:f>
      </x:c>
      <x:c r="AE49" s="54" t="str">
        <x:f>IF(B49="","",IF(AND(AA49=1,AB49&gt;=1),"Healthy",IF(AA49=0,"Missing A",IF(AA49&gt;1,"Multiple A","Missing R"))))</x:f>
      </x:c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54" t="str">
        <x:f>IF(B50="","",COUNTIF(L50:Z50,"A")+COUNTIF(L50:Z50,"AR"))</x:f>
      </x:c>
      <x:c r="AB50" s="54" t="str">
        <x:f>IF(B50="","",COUNTIF(L50:Z50,"R")+COUNTIF(L50:Z50,"AR"))</x:f>
      </x:c>
      <x:c r="AC50" s="54" t="str">
        <x:f>IF(B50="","",COUNTIF(L50:Z50,"C"))</x:f>
      </x:c>
      <x:c r="AD50" s="54" t="str">
        <x:f>IF(B50="","",COUNTIF(L50:Z50,"I"))</x:f>
      </x:c>
      <x:c r="AE50" s="54" t="str">
        <x:f>IF(B50="","",IF(AND(AA50=1,AB50&gt;=1),"Healthy",IF(AA50=0,"Missing A",IF(AA50&gt;1,"Multiple A","Missing R"))))</x:f>
      </x:c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54" t="str">
        <x:f>IF(B51="","",COUNTIF(L51:Z51,"A")+COUNTIF(L51:Z51,"AR"))</x:f>
      </x:c>
      <x:c r="AB51" s="54" t="str">
        <x:f>IF(B51="","",COUNTIF(L51:Z51,"R")+COUNTIF(L51:Z51,"AR"))</x:f>
      </x:c>
      <x:c r="AC51" s="54" t="str">
        <x:f>IF(B51="","",COUNTIF(L51:Z51,"C"))</x:f>
      </x:c>
      <x:c r="AD51" s="54" t="str">
        <x:f>IF(B51="","",COUNTIF(L51:Z51,"I"))</x:f>
      </x:c>
      <x:c r="AE51" s="54" t="str">
        <x:f>IF(B51="","",IF(AND(AA51=1,AB51&gt;=1),"Healthy",IF(AA51=0,"Missing A",IF(AA51&gt;1,"Multiple A","Missing R"))))</x:f>
      </x:c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54" t="str">
        <x:f>IF(B52="","",COUNTIF(L52:Z52,"A")+COUNTIF(L52:Z52,"AR"))</x:f>
      </x:c>
      <x:c r="AB52" s="54" t="str">
        <x:f>IF(B52="","",COUNTIF(L52:Z52,"R")+COUNTIF(L52:Z52,"AR"))</x:f>
      </x:c>
      <x:c r="AC52" s="54" t="str">
        <x:f>IF(B52="","",COUNTIF(L52:Z52,"C"))</x:f>
      </x:c>
      <x:c r="AD52" s="54" t="str">
        <x:f>IF(B52="","",COUNTIF(L52:Z52,"I"))</x:f>
      </x:c>
      <x:c r="AE52" s="54" t="str">
        <x:f>IF(B52="","",IF(AND(AA52=1,AB52&gt;=1),"Healthy",IF(AA52=0,"Missing A",IF(AA52&gt;1,"Multiple A","Missing R"))))</x:f>
      </x:c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54" t="str">
        <x:f>IF(B53="","",COUNTIF(L53:Z53,"A")+COUNTIF(L53:Z53,"AR"))</x:f>
      </x:c>
      <x:c r="AB53" s="54" t="str">
        <x:f>IF(B53="","",COUNTIF(L53:Z53,"R")+COUNTIF(L53:Z53,"AR"))</x:f>
      </x:c>
      <x:c r="AC53" s="54" t="str">
        <x:f>IF(B53="","",COUNTIF(L53:Z53,"C"))</x:f>
      </x:c>
      <x:c r="AD53" s="54" t="str">
        <x:f>IF(B53="","",COUNTIF(L53:Z53,"I"))</x:f>
      </x:c>
      <x:c r="AE53" s="54" t="str">
        <x:f>IF(B53="","",IF(AND(AA53=1,AB53&gt;=1),"Healthy",IF(AA53=0,"Missing A",IF(AA53&gt;1,"Multiple A","Missing R"))))</x:f>
      </x:c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54" t="str">
        <x:f>IF(B54="","",COUNTIF(L54:Z54,"A")+COUNTIF(L54:Z54,"AR"))</x:f>
      </x:c>
      <x:c r="AB54" s="54" t="str">
        <x:f>IF(B54="","",COUNTIF(L54:Z54,"R")+COUNTIF(L54:Z54,"AR"))</x:f>
      </x:c>
      <x:c r="AC54" s="54" t="str">
        <x:f>IF(B54="","",COUNTIF(L54:Z54,"C"))</x:f>
      </x:c>
      <x:c r="AD54" s="54" t="str">
        <x:f>IF(B54="","",COUNTIF(L54:Z54,"I"))</x:f>
      </x:c>
      <x:c r="AE54" s="54" t="str">
        <x:f>IF(B54="","",IF(AND(AA54=1,AB54&gt;=1),"Healthy",IF(AA54=0,"Missing A",IF(AA54&gt;1,"Multiple A","Missing R"))))</x:f>
      </x:c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54" t="str">
        <x:f>IF(B55="","",COUNTIF(L55:Z55,"A")+COUNTIF(L55:Z55,"AR"))</x:f>
      </x:c>
      <x:c r="AB55" s="54" t="str">
        <x:f>IF(B55="","",COUNTIF(L55:Z55,"R")+COUNTIF(L55:Z55,"AR"))</x:f>
      </x:c>
      <x:c r="AC55" s="54" t="str">
        <x:f>IF(B55="","",COUNTIF(L55:Z55,"C"))</x:f>
      </x:c>
      <x:c r="AD55" s="54" t="str">
        <x:f>IF(B55="","",COUNTIF(L55:Z55,"I"))</x:f>
      </x:c>
      <x:c r="AE55" s="54" t="str">
        <x:f>IF(B55="","",IF(AND(AA55=1,AB55&gt;=1),"Healthy",IF(AA55=0,"Missing A",IF(AA55&gt;1,"Multiple A","Missing R"))))</x:f>
      </x:c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54" t="str">
        <x:f>IF(B56="","",COUNTIF(L56:Z56,"A")+COUNTIF(L56:Z56,"AR"))</x:f>
      </x:c>
      <x:c r="AB56" s="54" t="str">
        <x:f>IF(B56="","",COUNTIF(L56:Z56,"R")+COUNTIF(L56:Z56,"AR"))</x:f>
      </x:c>
      <x:c r="AC56" s="54" t="str">
        <x:f>IF(B56="","",COUNTIF(L56:Z56,"C"))</x:f>
      </x:c>
      <x:c r="AD56" s="54" t="str">
        <x:f>IF(B56="","",COUNTIF(L56:Z56,"I"))</x:f>
      </x:c>
      <x:c r="AE56" s="54" t="str">
        <x:f>IF(B56="","",IF(AND(AA56=1,AB56&gt;=1),"Healthy",IF(AA56=0,"Missing A",IF(AA56&gt;1,"Multiple A","Missing R"))))</x:f>
      </x:c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54" t="str">
        <x:f>IF(B57="","",COUNTIF(L57:Z57,"A")+COUNTIF(L57:Z57,"AR"))</x:f>
      </x:c>
      <x:c r="AB57" s="54" t="str">
        <x:f>IF(B57="","",COUNTIF(L57:Z57,"R")+COUNTIF(L57:Z57,"AR"))</x:f>
      </x:c>
      <x:c r="AC57" s="54" t="str">
        <x:f>IF(B57="","",COUNTIF(L57:Z57,"C"))</x:f>
      </x:c>
      <x:c r="AD57" s="54" t="str">
        <x:f>IF(B57="","",COUNTIF(L57:Z57,"I"))</x:f>
      </x:c>
      <x:c r="AE57" s="54" t="str">
        <x:f>IF(B57="","",IF(AND(AA57=1,AB57&gt;=1),"Healthy",IF(AA57=0,"Missing A",IF(AA57&gt;1,"Multiple A","Missing R"))))</x:f>
      </x:c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54" t="str">
        <x:f>IF(B58="","",COUNTIF(L58:Z58,"A")+COUNTIF(L58:Z58,"AR"))</x:f>
      </x:c>
      <x:c r="AB58" s="54" t="str">
        <x:f>IF(B58="","",COUNTIF(L58:Z58,"R")+COUNTIF(L58:Z58,"AR"))</x:f>
      </x:c>
      <x:c r="AC58" s="54" t="str">
        <x:f>IF(B58="","",COUNTIF(L58:Z58,"C"))</x:f>
      </x:c>
      <x:c r="AD58" s="54" t="str">
        <x:f>IF(B58="","",COUNTIF(L58:Z58,"I"))</x:f>
      </x:c>
      <x:c r="AE58" s="54" t="str">
        <x:f>IF(B58="","",IF(AND(AA58=1,AB58&gt;=1),"Healthy",IF(AA58=0,"Missing A",IF(AA58&gt;1,"Multiple A","Missing R"))))</x:f>
      </x:c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54" t="str">
        <x:f>IF(B59="","",COUNTIF(L59:Z59,"A")+COUNTIF(L59:Z59,"AR"))</x:f>
      </x:c>
      <x:c r="AB59" s="54" t="str">
        <x:f>IF(B59="","",COUNTIF(L59:Z59,"R")+COUNTIF(L59:Z59,"AR"))</x:f>
      </x:c>
      <x:c r="AC59" s="54" t="str">
        <x:f>IF(B59="","",COUNTIF(L59:Z59,"C"))</x:f>
      </x:c>
      <x:c r="AD59" s="54" t="str">
        <x:f>IF(B59="","",COUNTIF(L59:Z59,"I"))</x:f>
      </x:c>
      <x:c r="AE59" s="54" t="str">
        <x:f>IF(B59="","",IF(AND(AA59=1,AB59&gt;=1),"Healthy",IF(AA59=0,"Missing A",IF(AA59&gt;1,"Multiple A","Missing R"))))</x:f>
      </x:c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54" t="str">
        <x:f>IF(B60="","",COUNTIF(L60:Z60,"A")+COUNTIF(L60:Z60,"AR"))</x:f>
      </x:c>
      <x:c r="AB60" s="54" t="str">
        <x:f>IF(B60="","",COUNTIF(L60:Z60,"R")+COUNTIF(L60:Z60,"AR"))</x:f>
      </x:c>
      <x:c r="AC60" s="54" t="str">
        <x:f>IF(B60="","",COUNTIF(L60:Z60,"C"))</x:f>
      </x:c>
      <x:c r="AD60" s="54" t="str">
        <x:f>IF(B60="","",COUNTIF(L60:Z60,"I"))</x:f>
      </x:c>
      <x:c r="AE60" s="54" t="str">
        <x:f>IF(B60="","",IF(AND(AA60=1,AB60&gt;=1),"Healthy",IF(AA60=0,"Missing A",IF(AA60&gt;1,"Multiple A","Missing R"))))</x:f>
      </x:c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54" t="str">
        <x:f>IF(B61="","",COUNTIF(L61:Z61,"A")+COUNTIF(L61:Z61,"AR"))</x:f>
      </x:c>
      <x:c r="AB61" s="54" t="str">
        <x:f>IF(B61="","",COUNTIF(L61:Z61,"R")+COUNTIF(L61:Z61,"AR"))</x:f>
      </x:c>
      <x:c r="AC61" s="54" t="str">
        <x:f>IF(B61="","",COUNTIF(L61:Z61,"C"))</x:f>
      </x:c>
      <x:c r="AD61" s="54" t="str">
        <x:f>IF(B61="","",COUNTIF(L61:Z61,"I"))</x:f>
      </x:c>
      <x:c r="AE61" s="54" t="str">
        <x:f>IF(B61="","",IF(AND(AA61=1,AB61&gt;=1),"Healthy",IF(AA61=0,"Missing A",IF(AA61&gt;1,"Multiple A","Missing R"))))</x:f>
      </x:c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54" t="str">
        <x:f>IF(B62="","",COUNTIF(L62:Z62,"A")+COUNTIF(L62:Z62,"AR"))</x:f>
      </x:c>
      <x:c r="AB62" s="54" t="str">
        <x:f>IF(B62="","",COUNTIF(L62:Z62,"R")+COUNTIF(L62:Z62,"AR"))</x:f>
      </x:c>
      <x:c r="AC62" s="54" t="str">
        <x:f>IF(B62="","",COUNTIF(L62:Z62,"C"))</x:f>
      </x:c>
      <x:c r="AD62" s="54" t="str">
        <x:f>IF(B62="","",COUNTIF(L62:Z62,"I"))</x:f>
      </x:c>
      <x:c r="AE62" s="54" t="str">
        <x:f>IF(B62="","",IF(AND(AA62=1,AB62&gt;=1),"Healthy",IF(AA62=0,"Missing A",IF(AA62&gt;1,"Multiple A","Missing R"))))</x:f>
      </x:c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54" t="str">
        <x:f>IF(B63="","",COUNTIF(L63:Z63,"A")+COUNTIF(L63:Z63,"AR"))</x:f>
      </x:c>
      <x:c r="AB63" s="54" t="str">
        <x:f>IF(B63="","",COUNTIF(L63:Z63,"R")+COUNTIF(L63:Z63,"AR"))</x:f>
      </x:c>
      <x:c r="AC63" s="54" t="str">
        <x:f>IF(B63="","",COUNTIF(L63:Z63,"C"))</x:f>
      </x:c>
      <x:c r="AD63" s="54" t="str">
        <x:f>IF(B63="","",COUNTIF(L63:Z63,"I"))</x:f>
      </x:c>
      <x:c r="AE63" s="54" t="str">
        <x:f>IF(B63="","",IF(AND(AA63=1,AB63&gt;=1),"Healthy",IF(AA63=0,"Missing A",IF(AA63&gt;1,"Multiple A","Missing R"))))</x:f>
      </x:c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54" t="str">
        <x:f>IF(B64="","",COUNTIF(L64:Z64,"A")+COUNTIF(L64:Z64,"AR"))</x:f>
      </x:c>
      <x:c r="AB64" s="54" t="str">
        <x:f>IF(B64="","",COUNTIF(L64:Z64,"R")+COUNTIF(L64:Z64,"AR"))</x:f>
      </x:c>
      <x:c r="AC64" s="54" t="str">
        <x:f>IF(B64="","",COUNTIF(L64:Z64,"C"))</x:f>
      </x:c>
      <x:c r="AD64" s="54" t="str">
        <x:f>IF(B64="","",COUNTIF(L64:Z64,"I"))</x:f>
      </x:c>
      <x:c r="AE64" s="54" t="str">
        <x:f>IF(B64="","",IF(AND(AA64=1,AB64&gt;=1),"Healthy",IF(AA64=0,"Missing A",IF(AA64&gt;1,"Multiple A","Missing R"))))</x:f>
      </x:c>
    </x:row>
  </x:sheetData>
  <x:mergeCells>
    <x:mergeCell ref="A1:AE1"/>
    <x:mergeCell ref="A2:AE2"/>
  </x:mergeCells>
  <x:conditionalFormatting sqref="AE5:AE64">
    <x:cfRule type="containsText" dxfId="0" priority="1" operator="containsText" text="Healthy"/>
    <x:cfRule type="containsText" dxfId="1" priority="2" operator="containsText" text="Missing"/>
    <x:cfRule type="containsText" dxfId="2" priority="3" operator="containsText" text="Multiple"/>
  </x:conditionalFormatting>
  <x:dataValidations count="1">
    <x:dataValidation type="list" sqref="L5:Z104">
      <x:formula1>",A,R,C,I,AR"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6" hidden="0" customWidth="1"/>
    <x:col min="5" max="5" width="24" hidden="0" customWidth="1"/>
    <x:col min="6" max="6" width="36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32" customHeight="1">
      <x:c r="A1" s="3" t="str">
        <x:v>AI Lifecycle Activity RACI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</x:row>
    <x:row r="2" ht="28" customHeight="1">
      <x:c r="A2" s="48" t="str">
        <x:v>Control ownership across the eight lifecycle gates. Extend rows for enterprise-specific activities.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</x:row>
    <x:row r="4" ht="29" customHeight="1">
      <x:c r="A4" s="49" t="str">
        <x:v>Activity ID</x:v>
      </x:c>
      <x:c r="B4" s="49" t="str">
        <x:v>Lifecycle gate</x:v>
      </x:c>
      <x:c r="C4" s="49" t="str">
        <x:v>Activity / control outcome</x:v>
      </x:c>
      <x:c r="D4" s="49" t="str">
        <x:v>Requirement</x:v>
      </x:c>
      <x:c r="E4" s="49" t="str">
        <x:v>Default accountable role</x:v>
      </x:c>
      <x:c r="F4" s="49" t="str">
        <x:v>Required evidence</x:v>
      </x:c>
      <x:c r="G4" s="49" t="str">
        <x:v>Frequency / trigger</x:v>
      </x:c>
      <x:c r="H4" s="49" t="str">
        <x:v>Board / Audit Committee</x:v>
      </x:c>
      <x:c r="I4" s="49" t="str">
        <x:v>Executive Sponsor</x:v>
      </x:c>
      <x:c r="J4" s="49" t="str">
        <x:v>AI Steering Committee</x:v>
      </x:c>
      <x:c r="K4" s="49" t="str">
        <x:v>AI Governance Office</x:v>
      </x:c>
      <x:c r="L4" s="49" t="str">
        <x:v>Business / Product Owner</x:v>
      </x:c>
      <x:c r="M4" s="49" t="str">
        <x:v>Enterprise Risk / Compliance</x:v>
      </x:c>
      <x:c r="N4" s="49" t="str">
        <x:v>Privacy / Legal</x:v>
      </x:c>
      <x:c r="O4" s="49" t="str">
        <x:v>Cybersecurity</x:v>
      </x:c>
      <x:c r="P4" s="49" t="str">
        <x:v>Enterprise Architecture</x:v>
      </x:c>
      <x:c r="Q4" s="49" t="str">
        <x:v>Data Owner / Data Governance</x:v>
      </x:c>
      <x:c r="R4" s="49" t="str">
        <x:v>Model / Validation Lead</x:v>
      </x:c>
      <x:c r="S4" s="49" t="str">
        <x:v>Delivery / Engineering</x:v>
      </x:c>
      <x:c r="T4" s="49" t="str">
        <x:v>Operations / Service Owner</x:v>
      </x:c>
      <x:c r="U4" s="49" t="str">
        <x:v>Vendor / Procurement Owner</x:v>
      </x:c>
      <x:c r="V4" s="49" t="str">
        <x:v>Internal Audit</x:v>
      </x:c>
    </x:row>
    <x:row r="5">
      <x:c r="A5" s="19" t="str">
        <x:v>L-01</x:v>
      </x:c>
      <x:c r="B5" s="19" t="str">
        <x:v>01 Intake</x:v>
      </x:c>
      <x:c r="C5" s="19" t="str">
        <x:v>Register use case, owner, value and intended outcome</x:v>
      </x:c>
      <x:c r="D5" s="19" t="str">
        <x:v>Mandatory</x:v>
      </x:c>
      <x:c r="E5" s="19" t="str">
        <x:v>Business / Product Owner</x:v>
      </x:c>
      <x:c r="F5" s="19" t="str">
        <x:v>Intake record</x:v>
      </x:c>
      <x:c r="G5" s="19" t="str">
        <x:v>Per use case</x:v>
      </x:c>
      <x:c r="H5" s="19" t="str">
        <x:v>R</x:v>
      </x:c>
      <x:c r="I5" s="19" t="str">
        <x:v>C</x:v>
      </x:c>
      <x:c r="J5" s="19" t="str">
        <x:v>C</x:v>
      </x:c>
      <x:c r="K5" s="19" t="str">
        <x:v>A</x:v>
      </x:c>
      <x:c r="L5" s="19" t="str">
        <x:v>R</x:v>
      </x:c>
      <x:c r="M5" s="19" t="str">
        <x:v>C</x:v>
      </x:c>
      <x:c r="N5" s="19" t="str">
        <x:v>I</x:v>
      </x:c>
      <x:c r="O5" s="19" t="str">
        <x:v>I</x:v>
      </x:c>
      <x:c r="P5" s="19" t="str">
        <x:v>I</x:v>
      </x:c>
      <x:c r="Q5" s="19" t="str">
        <x:v>C</x:v>
      </x:c>
      <x:c r="R5" s="19" t="str">
        <x:v>I</x:v>
      </x:c>
      <x:c r="S5" s="19" t="str">
        <x:v>C</x:v>
      </x:c>
      <x:c r="T5" s="19" t="str">
        <x:v>I</x:v>
      </x:c>
      <x:c r="U5" s="19" t="str">
        <x:v>C</x:v>
      </x:c>
      <x:c r="V5" s="19" t="str">
        <x:v>I</x:v>
      </x:c>
    </x:row>
    <x:row r="6">
      <x:c r="A6" s="20" t="str">
        <x:v>L-02</x:v>
      </x:c>
      <x:c r="B6" s="20" t="str">
        <x:v>02 Assess</x:v>
      </x:c>
      <x:c r="C6" s="20" t="str">
        <x:v>Classify risk, regulation, affected stakeholders and pathway</x:v>
      </x:c>
      <x:c r="D6" s="20" t="str">
        <x:v>Mandatory</x:v>
      </x:c>
      <x:c r="E6" s="20" t="str">
        <x:v>Enterprise Risk / Compliance</x:v>
      </x:c>
      <x:c r="F6" s="20" t="str">
        <x:v>Risk assessment</x:v>
      </x:c>
      <x:c r="G6" s="20" t="str">
        <x:v>Per use case / change</x:v>
      </x:c>
      <x:c r="H6" s="20" t="str">
        <x:v>I</x:v>
      </x:c>
      <x:c r="I6" s="20" t="str">
        <x:v>I</x:v>
      </x:c>
      <x:c r="J6" s="20" t="str">
        <x:v>C</x:v>
      </x:c>
      <x:c r="K6" s="20" t="str">
        <x:v>R</x:v>
      </x:c>
      <x:c r="L6" s="20" t="str">
        <x:v>R</x:v>
      </x:c>
      <x:c r="M6" s="20" t="str">
        <x:v>A</x:v>
      </x:c>
      <x:c r="N6" s="20" t="str">
        <x:v>R</x:v>
      </x:c>
      <x:c r="O6" s="20" t="str">
        <x:v>C</x:v>
      </x:c>
      <x:c r="P6" s="20" t="str">
        <x:v>C</x:v>
      </x:c>
      <x:c r="Q6" s="20" t="str">
        <x:v>R</x:v>
      </x:c>
      <x:c r="R6" s="20" t="str">
        <x:v>C</x:v>
      </x:c>
      <x:c r="S6" s="20" t="str">
        <x:v>C</x:v>
      </x:c>
      <x:c r="T6" s="20" t="str">
        <x:v>I</x:v>
      </x:c>
      <x:c r="U6" s="20" t="str">
        <x:v>C</x:v>
      </x:c>
      <x:c r="V6" s="20" t="str">
        <x:v>I</x:v>
      </x:c>
    </x:row>
    <x:row r="7">
      <x:c r="A7" s="20" t="str">
        <x:v>L-03</x:v>
      </x:c>
      <x:c r="B7" s="20" t="str">
        <x:v>03 Design</x:v>
      </x:c>
      <x:c r="C7" s="20" t="str">
        <x:v>Approve architecture, data flows, controls and human oversight</x:v>
      </x:c>
      <x:c r="D7" s="20" t="str">
        <x:v>Mandatory</x:v>
      </x:c>
      <x:c r="E7" s="20" t="str">
        <x:v>Enterprise Architecture</x:v>
      </x:c>
      <x:c r="F7" s="20" t="str">
        <x:v>Architecture decision record</x:v>
      </x:c>
      <x:c r="G7" s="20" t="str">
        <x:v>Per design / material change</x:v>
      </x:c>
      <x:c r="H7" s="20" t="str">
        <x:v>I</x:v>
      </x:c>
      <x:c r="I7" s="20" t="str">
        <x:v>I</x:v>
      </x:c>
      <x:c r="J7" s="20" t="str">
        <x:v>C</x:v>
      </x:c>
      <x:c r="K7" s="20" t="str">
        <x:v>C</x:v>
      </x:c>
      <x:c r="L7" s="20" t="str">
        <x:v>C</x:v>
      </x:c>
      <x:c r="M7" s="20" t="str">
        <x:v>C</x:v>
      </x:c>
      <x:c r="N7" s="20" t="str">
        <x:v>C</x:v>
      </x:c>
      <x:c r="O7" s="20" t="str">
        <x:v>R</x:v>
      </x:c>
      <x:c r="P7" s="20" t="str">
        <x:v>A</x:v>
      </x:c>
      <x:c r="Q7" s="20" t="str">
        <x:v>R</x:v>
      </x:c>
      <x:c r="R7" s="20" t="str">
        <x:v>C</x:v>
      </x:c>
      <x:c r="S7" s="20" t="str">
        <x:v>R</x:v>
      </x:c>
      <x:c r="T7" s="20" t="str">
        <x:v>C</x:v>
      </x:c>
      <x:c r="U7" s="20" t="str">
        <x:v>C</x:v>
      </x:c>
      <x:c r="V7" s="20" t="str">
        <x:v>I</x:v>
      </x:c>
    </x:row>
    <x:row r="8">
      <x:c r="A8" s="20" t="str">
        <x:v>L-04</x:v>
      </x:c>
      <x:c r="B8" s="20" t="str">
        <x:v>04 Develop</x:v>
      </x:c>
      <x:c r="C8" s="20" t="str">
        <x:v>Build system and maintain traceable design and test evidence</x:v>
      </x:c>
      <x:c r="D8" s="20" t="str">
        <x:v>Mandatory</x:v>
      </x:c>
      <x:c r="E8" s="20" t="str">
        <x:v>Delivery / Engineering</x:v>
      </x:c>
      <x:c r="F8" s="20" t="str">
        <x:v>Model/system card and test evidence</x:v>
      </x:c>
      <x:c r="G8" s="20" t="str">
        <x:v>Continuous</x:v>
      </x:c>
      <x:c r="H8" s="20" t="str">
        <x:v>I</x:v>
      </x:c>
      <x:c r="I8" s="20" t="str">
        <x:v>I</x:v>
      </x:c>
      <x:c r="J8" s="20" t="str">
        <x:v>I</x:v>
      </x:c>
      <x:c r="K8" s="20" t="str">
        <x:v>A</x:v>
      </x:c>
      <x:c r="L8" s="20" t="str">
        <x:v>C</x:v>
      </x:c>
      <x:c r="M8" s="20" t="str">
        <x:v>C</x:v>
      </x:c>
      <x:c r="N8" s="20" t="str">
        <x:v>C</x:v>
      </x:c>
      <x:c r="O8" s="20" t="str">
        <x:v>C</x:v>
      </x:c>
      <x:c r="P8" s="20" t="str">
        <x:v>C</x:v>
      </x:c>
      <x:c r="Q8" s="20" t="str">
        <x:v>C</x:v>
      </x:c>
      <x:c r="R8" s="20" t="str">
        <x:v>C</x:v>
      </x:c>
      <x:c r="S8" s="20" t="str">
        <x:v>R</x:v>
      </x:c>
      <x:c r="T8" s="20" t="str">
        <x:v>C</x:v>
      </x:c>
      <x:c r="U8" s="20" t="str">
        <x:v>C</x:v>
      </x:c>
      <x:c r="V8" s="20" t="str">
        <x:v>I</x:v>
      </x:c>
    </x:row>
    <x:row r="9">
      <x:c r="A9" s="20" t="str">
        <x:v>L-05</x:v>
      </x:c>
      <x:c r="B9" s="20" t="str">
        <x:v>05 Validate</x:v>
      </x:c>
      <x:c r="C9" s="20" t="str">
        <x:v>Independently validate performance, fairness, robustness and limitations</x:v>
      </x:c>
      <x:c r="D9" s="20" t="str">
        <x:v>Risk based</x:v>
      </x:c>
      <x:c r="E9" s="20" t="str">
        <x:v>Model / Validation Lead</x:v>
      </x:c>
      <x:c r="F9" s="20" t="str">
        <x:v>Validation report</x:v>
      </x:c>
      <x:c r="G9" s="20" t="str">
        <x:v>Per release / change</x:v>
      </x:c>
      <x:c r="H9" s="20" t="str">
        <x:v>I</x:v>
      </x:c>
      <x:c r="I9" s="20" t="str">
        <x:v>I</x:v>
      </x:c>
      <x:c r="J9" s="20" t="str">
        <x:v>C</x:v>
      </x:c>
      <x:c r="K9" s="20" t="str">
        <x:v>C</x:v>
      </x:c>
      <x:c r="L9" s="20" t="str">
        <x:v>C</x:v>
      </x:c>
      <x:c r="M9" s="20" t="str">
        <x:v>C</x:v>
      </x:c>
      <x:c r="N9" s="20" t="str">
        <x:v>C</x:v>
      </x:c>
      <x:c r="O9" s="20" t="str">
        <x:v>C</x:v>
      </x:c>
      <x:c r="P9" s="20" t="str">
        <x:v>C</x:v>
      </x:c>
      <x:c r="Q9" s="20" t="str">
        <x:v>C</x:v>
      </x:c>
      <x:c r="R9" s="20" t="str">
        <x:v>A</x:v>
      </x:c>
      <x:c r="S9" s="20" t="str">
        <x:v>R</x:v>
      </x:c>
      <x:c r="T9" s="20" t="str">
        <x:v>I</x:v>
      </x:c>
      <x:c r="U9" s="20" t="str">
        <x:v>I</x:v>
      </x:c>
      <x:c r="V9" s="20" t="str">
        <x:v>I</x:v>
      </x:c>
    </x:row>
    <x:row r="10">
      <x:c r="A10" s="20" t="str">
        <x:v>L-06</x:v>
      </x:c>
      <x:c r="B10" s="20" t="str">
        <x:v>06 Deploy</x:v>
      </x:c>
      <x:c r="C10" s="20" t="str">
        <x:v>Approve release, monitoring, rollback and support readiness</x:v>
      </x:c>
      <x:c r="D10" s="20" t="str">
        <x:v>Mandatory</x:v>
      </x:c>
      <x:c r="E10" s="20" t="str">
        <x:v>Business / Product Owner</x:v>
      </x:c>
      <x:c r="F10" s="20" t="str">
        <x:v>Production approval record</x:v>
      </x:c>
      <x:c r="G10" s="20" t="str">
        <x:v>Per release</x:v>
      </x:c>
      <x:c r="H10" s="20" t="str">
        <x:v>I</x:v>
      </x:c>
      <x:c r="I10" s="20" t="str">
        <x:v>I</x:v>
      </x:c>
      <x:c r="J10" s="20" t="str">
        <x:v>C</x:v>
      </x:c>
      <x:c r="K10" s="20" t="str">
        <x:v>A</x:v>
      </x:c>
      <x:c r="L10" s="20" t="str">
        <x:v>C</x:v>
      </x:c>
      <x:c r="M10" s="20" t="str">
        <x:v>C</x:v>
      </x:c>
      <x:c r="N10" s="20" t="str">
        <x:v>C</x:v>
      </x:c>
      <x:c r="O10" s="20" t="str">
        <x:v>C</x:v>
      </x:c>
      <x:c r="P10" s="20" t="str">
        <x:v>R</x:v>
      </x:c>
      <x:c r="Q10" s="20" t="str">
        <x:v>C</x:v>
      </x:c>
      <x:c r="R10" s="20" t="str">
        <x:v>R</x:v>
      </x:c>
      <x:c r="S10" s="20" t="str">
        <x:v>R</x:v>
      </x:c>
      <x:c r="T10" s="20" t="str">
        <x:v>R</x:v>
      </x:c>
      <x:c r="U10" s="20" t="str">
        <x:v>C</x:v>
      </x:c>
      <x:c r="V10" s="20" t="str">
        <x:v>I</x:v>
      </x:c>
    </x:row>
    <x:row r="11">
      <x:c r="A11" s="20" t="str">
        <x:v>L-07</x:v>
      </x:c>
      <x:c r="B11" s="20" t="str">
        <x:v>07 Monitor</x:v>
      </x:c>
      <x:c r="C11" s="20" t="str">
        <x:v>Monitor performance, drift, controls, incidents and outcomes</x:v>
      </x:c>
      <x:c r="D11" s="20" t="str">
        <x:v>Mandatory</x:v>
      </x:c>
      <x:c r="E11" s="20" t="str">
        <x:v>Operations / Service Owner</x:v>
      </x:c>
      <x:c r="F11" s="20" t="str">
        <x:v>Dashboard, alerts and incident evidence</x:v>
      </x:c>
      <x:c r="G11" s="20" t="str">
        <x:v>Continuous</x:v>
      </x:c>
      <x:c r="H11" s="20" t="str">
        <x:v>I</x:v>
      </x:c>
      <x:c r="I11" s="20" t="str">
        <x:v>I</x:v>
      </x:c>
      <x:c r="J11" s="20" t="str">
        <x:v>C</x:v>
      </x:c>
      <x:c r="K11" s="20" t="str">
        <x:v>A</x:v>
      </x:c>
      <x:c r="L11" s="20" t="str">
        <x:v>C</x:v>
      </x:c>
      <x:c r="M11" s="20" t="str">
        <x:v>C</x:v>
      </x:c>
      <x:c r="N11" s="20" t="str">
        <x:v>C</x:v>
      </x:c>
      <x:c r="O11" s="20" t="str">
        <x:v>R</x:v>
      </x:c>
      <x:c r="P11" s="20" t="str">
        <x:v>C</x:v>
      </x:c>
      <x:c r="Q11" s="20" t="str">
        <x:v>R</x:v>
      </x:c>
      <x:c r="R11" s="20" t="str">
        <x:v>C</x:v>
      </x:c>
      <x:c r="S11" s="20" t="str">
        <x:v>R</x:v>
      </x:c>
      <x:c r="T11" s="20" t="str">
        <x:v>R</x:v>
      </x:c>
      <x:c r="U11" s="20" t="str">
        <x:v>C</x:v>
      </x:c>
      <x:c r="V11" s="20" t="str">
        <x:v>I</x:v>
      </x:c>
    </x:row>
    <x:row r="12">
      <x:c r="A12" s="21" t="str">
        <x:v>L-08</x:v>
      </x:c>
      <x:c r="B12" s="21" t="str">
        <x:v>08 Retire</x:v>
      </x:c>
      <x:c r="C12" s="21" t="str">
        <x:v>Close access, data, models, vendors and retained evidence</x:v>
      </x:c>
      <x:c r="D12" s="21" t="str">
        <x:v>Mandatory</x:v>
      </x:c>
      <x:c r="E12" s="21" t="str">
        <x:v>Business / Product Owner</x:v>
      </x:c>
      <x:c r="F12" s="21" t="str">
        <x:v>Retirement record</x:v>
      </x:c>
      <x:c r="G12" s="21" t="str">
        <x:v>Per retirement</x:v>
      </x:c>
      <x:c r="H12" s="21" t="str">
        <x:v>I</x:v>
      </x:c>
      <x:c r="I12" s="21" t="str">
        <x:v>I</x:v>
      </x:c>
      <x:c r="J12" s="21" t="str">
        <x:v>C</x:v>
      </x:c>
      <x:c r="K12" s="21" t="str">
        <x:v>A</x:v>
      </x:c>
      <x:c r="L12" s="21" t="str">
        <x:v>R</x:v>
      </x:c>
      <x:c r="M12" s="21" t="str">
        <x:v>C</x:v>
      </x:c>
      <x:c r="N12" s="21" t="str">
        <x:v>C</x:v>
      </x:c>
      <x:c r="O12" s="21" t="str">
        <x:v>R</x:v>
      </x:c>
      <x:c r="P12" s="21" t="str">
        <x:v>R</x:v>
      </x:c>
      <x:c r="Q12" s="21" t="str">
        <x:v>R</x:v>
      </x:c>
      <x:c r="R12" s="21" t="str">
        <x:v>I</x:v>
      </x:c>
      <x:c r="S12" s="21" t="str">
        <x:v>R</x:v>
      </x:c>
      <x:c r="T12" s="21" t="str">
        <x:v>R</x:v>
      </x:c>
      <x:c r="U12" s="21" t="str">
        <x:v>R</x:v>
      </x:c>
      <x:c r="V12" s="21" t="str">
        <x:v>I</x:v>
      </x:c>
    </x:row>
  </x:sheetData>
  <x:mergeCells>
    <x:mergeCell ref="A1:V1"/>
    <x:mergeCell ref="A2:V2"/>
  </x:mergeCells>
  <x:dataValidations count="1">
    <x:dataValidation type="list" sqref="H5:V104">
      <x:formula1>",A,R,C,I,AR"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8" hidden="0" customWidth="1"/>
    <x:col min="4" max="4" width="14" hidden="0" customWidth="1"/>
    <x:col min="5" max="5" width="24" hidden="0" customWidth="1"/>
    <x:col min="6" max="6" width="25" hidden="0" customWidth="1"/>
    <x:col min="7" max="7" width="20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7" hidden="0" customWidth="1"/>
    <x:col min="14" max="14" width="32" hidden="0" customWidth="1"/>
    <x:col min="15" max="15" width="38" hidden="0" customWidth="1"/>
    <x:col min="16" max="16" width="17" hidden="0" customWidth="1"/>
    <x:col min="17" max="17" width="35" hidden="0" customWidth="1"/>
  </x:cols>
  <x:sheetData>
    <x:row r="1" ht="32" customHeight="1">
      <x:c r="A1" s="3" t="str">
        <x:v>Governance Decision &amp; Escalation Log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 ht="28" customHeight="1">
      <x:c r="A2" s="48" t="str">
        <x:v>Record actual decisions so accountability, timeliness, evidence and escalation metrics can be measured.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29" customHeight="1">
      <x:c r="A4" s="49" t="str">
        <x:v>Event ID</x:v>
      </x:c>
      <x:c r="B4" s="49" t="str">
        <x:v>Decision ID</x:v>
      </x:c>
      <x:c r="C4" s="49" t="str">
        <x:v>Decision subject</x:v>
      </x:c>
      <x:c r="D4" s="49" t="str">
        <x:v>Request date</x:v>
      </x:c>
      <x:c r="E4" s="49" t="str">
        <x:v>Requestor</x:v>
      </x:c>
      <x:c r="F4" s="49" t="str">
        <x:v>Accountable role</x:v>
      </x:c>
      <x:c r="G4" s="49" t="str">
        <x:v>Outcome</x:v>
      </x:c>
      <x:c r="H4" s="49" t="str">
        <x:v>Decision date</x:v>
      </x:c>
      <x:c r="I4" s="49" t="str">
        <x:v>Elapsed days</x:v>
      </x:c>
      <x:c r="J4" s="49" t="str">
        <x:v>SLA days</x:v>
      </x:c>
      <x:c r="K4" s="49" t="str">
        <x:v>Within SLA</x:v>
      </x:c>
      <x:c r="L4" s="49" t="str">
        <x:v>Escalated?</x:v>
      </x:c>
      <x:c r="M4" s="49" t="str">
        <x:v>Evidence status</x:v>
      </x:c>
      <x:c r="N4" s="49" t="str">
        <x:v>Evidence link</x:v>
      </x:c>
      <x:c r="O4" s="49" t="str">
        <x:v>Conditions / actions</x:v>
      </x:c>
      <x:c r="P4" s="49" t="str">
        <x:v>Action status</x:v>
      </x:c>
      <x:c r="Q4" s="49" t="str">
        <x:v>Notes</x:v>
      </x:c>
    </x:row>
    <x:row r="5">
      <x:c r="A5" s="35" t="str">
        <x:v>EV-001</x:v>
      </x:c>
      <x:c r="B5" s="35" t="str">
        <x:v>D-03</x:v>
      </x:c>
      <x:c r="C5" s="35" t="str">
        <x:v>Example: classify document-processing use case</x:v>
      </x:c>
      <x:c r="D5" s="36" t="str">
        <x:v>2026-07-01</x:v>
      </x:c>
      <x:c r="E5" s="35" t="str">
        <x:v>AI Governance Office</x:v>
      </x:c>
      <x:c r="F5" s="35" t="str">
        <x:v>Enterprise Risk / Compliance</x:v>
      </x:c>
      <x:c r="G5" s="35" t="str">
        <x:v>Approved</x:v>
      </x:c>
      <x:c r="H5" s="36" t="str">
        <x:v>2026-07-08</x:v>
      </x:c>
      <x:c r="I5" s="35" t="n">
        <x:v>7</x:v>
      </x:c>
      <x:c r="J5" s="35" t="n">
        <x:v>10</x:v>
      </x:c>
      <x:c r="K5" s="35" t="str">
        <x:f>IF(OR(D5="",H5=""),"",IF(I5&lt;=J5,"Yes","No"))</x:f>
        <x:v>Yes</x:v>
      </x:c>
      <x:c r="L5" s="35" t="str">
        <x:v>No</x:v>
      </x:c>
      <x:c r="M5" s="35" t="str">
        <x:v>Complete</x:v>
      </x:c>
      <x:c r="N5" s="35" t="str"/>
      <x:c r="O5" s="35" t="str"/>
      <x:c r="P5" s="35" t="str">
        <x:v>Closed</x:v>
      </x:c>
      <x:c r="Q5" s="35" t="str">
        <x:v>Example row — replace or retain as guidance</x:v>
      </x:c>
    </x:row>
    <x:row r="6">
      <x:c r="A6" s="12"/>
      <x:c r="B6" s="12"/>
      <x:c r="C6" s="12"/>
      <x:c r="D6" s="55"/>
      <x:c r="E6" s="12"/>
      <x:c r="F6" s="12"/>
      <x:c r="G6" s="12"/>
      <x:c r="H6" s="55"/>
      <x:c r="I6" s="12"/>
      <x:c r="J6" s="12"/>
      <x:c r="K6" s="12" t="str">
        <x:f>IF(OR(D6="",H6=""),"",IF(I6&lt;=J6,"Yes","No"))</x:f>
      </x:c>
      <x:c r="L6" s="12"/>
      <x:c r="M6" s="12"/>
      <x:c r="N6" s="12"/>
      <x:c r="O6" s="12"/>
      <x:c r="P6" s="12"/>
      <x:c r="Q6" s="12"/>
    </x:row>
    <x:row r="7">
      <x:c r="A7" s="12"/>
      <x:c r="B7" s="12"/>
      <x:c r="C7" s="12"/>
      <x:c r="D7" s="55"/>
      <x:c r="E7" s="12"/>
      <x:c r="F7" s="12"/>
      <x:c r="G7" s="12"/>
      <x:c r="H7" s="55"/>
      <x:c r="I7" s="12"/>
      <x:c r="J7" s="12"/>
      <x:c r="K7" s="12" t="str">
        <x:f>IF(OR(D7="",H7=""),"",IF(I7&lt;=J7,"Yes","No"))</x:f>
      </x:c>
      <x:c r="L7" s="12"/>
      <x:c r="M7" s="12"/>
      <x:c r="N7" s="12"/>
      <x:c r="O7" s="12"/>
      <x:c r="P7" s="12"/>
      <x:c r="Q7" s="12"/>
    </x:row>
    <x:row r="8">
      <x:c r="A8" s="12"/>
      <x:c r="B8" s="12"/>
      <x:c r="C8" s="12"/>
      <x:c r="D8" s="55"/>
      <x:c r="E8" s="12"/>
      <x:c r="F8" s="12"/>
      <x:c r="G8" s="12"/>
      <x:c r="H8" s="55"/>
      <x:c r="I8" s="12"/>
      <x:c r="J8" s="12"/>
      <x:c r="K8" s="12" t="str">
        <x:f>IF(OR(D8="",H8=""),"",IF(I8&lt;=J8,"Yes","No"))</x:f>
      </x:c>
      <x:c r="L8" s="12"/>
      <x:c r="M8" s="12"/>
      <x:c r="N8" s="12"/>
      <x:c r="O8" s="12"/>
      <x:c r="P8" s="12"/>
      <x:c r="Q8" s="12"/>
    </x:row>
    <x:row r="9">
      <x:c r="A9" s="12"/>
      <x:c r="B9" s="12"/>
      <x:c r="C9" s="12"/>
      <x:c r="D9" s="55"/>
      <x:c r="E9" s="12"/>
      <x:c r="F9" s="12"/>
      <x:c r="G9" s="12"/>
      <x:c r="H9" s="55"/>
      <x:c r="I9" s="12"/>
      <x:c r="J9" s="12"/>
      <x:c r="K9" s="12" t="str">
        <x:f>IF(OR(D9="",H9=""),"",IF(I9&lt;=J9,"Yes","No"))</x:f>
      </x:c>
      <x:c r="L9" s="12"/>
      <x:c r="M9" s="12"/>
      <x:c r="N9" s="12"/>
      <x:c r="O9" s="12"/>
      <x:c r="P9" s="12"/>
      <x:c r="Q9" s="12"/>
    </x:row>
    <x:row r="10">
      <x:c r="A10" s="12"/>
      <x:c r="B10" s="12"/>
      <x:c r="C10" s="12"/>
      <x:c r="D10" s="55"/>
      <x:c r="E10" s="12"/>
      <x:c r="F10" s="12"/>
      <x:c r="G10" s="12"/>
      <x:c r="H10" s="55"/>
      <x:c r="I10" s="12"/>
      <x:c r="J10" s="12"/>
      <x:c r="K10" s="12" t="str">
        <x:f>IF(OR(D10="",H10=""),"",IF(I10&lt;=J10,"Yes","No"))</x:f>
      </x:c>
      <x:c r="L10" s="12"/>
      <x:c r="M10" s="12"/>
      <x:c r="N10" s="12"/>
      <x:c r="O10" s="12"/>
      <x:c r="P10" s="12"/>
      <x:c r="Q10" s="12"/>
    </x:row>
    <x:row r="11">
      <x:c r="A11" s="12"/>
      <x:c r="B11" s="12"/>
      <x:c r="C11" s="12"/>
      <x:c r="D11" s="55"/>
      <x:c r="E11" s="12"/>
      <x:c r="F11" s="12"/>
      <x:c r="G11" s="12"/>
      <x:c r="H11" s="55"/>
      <x:c r="I11" s="12"/>
      <x:c r="J11" s="12"/>
      <x:c r="K11" s="12" t="str">
        <x:f>IF(OR(D11="",H11=""),"",IF(I11&lt;=J11,"Yes","No"))</x:f>
      </x:c>
      <x:c r="L11" s="12"/>
      <x:c r="M11" s="12"/>
      <x:c r="N11" s="12"/>
      <x:c r="O11" s="12"/>
      <x:c r="P11" s="12"/>
      <x:c r="Q11" s="12"/>
    </x:row>
    <x:row r="12">
      <x:c r="A12" s="12"/>
      <x:c r="B12" s="12"/>
      <x:c r="C12" s="12"/>
      <x:c r="D12" s="55"/>
      <x:c r="E12" s="12"/>
      <x:c r="F12" s="12"/>
      <x:c r="G12" s="12"/>
      <x:c r="H12" s="55"/>
      <x:c r="I12" s="12"/>
      <x:c r="J12" s="12"/>
      <x:c r="K12" s="12" t="str">
        <x:f>IF(OR(D12="",H12=""),"",IF(I12&lt;=J12,"Yes","No"))</x:f>
      </x:c>
      <x:c r="L12" s="12"/>
      <x:c r="M12" s="12"/>
      <x:c r="N12" s="12"/>
      <x:c r="O12" s="12"/>
      <x:c r="P12" s="12"/>
      <x:c r="Q12" s="12"/>
    </x:row>
    <x:row r="13">
      <x:c r="A13" s="12"/>
      <x:c r="B13" s="12"/>
      <x:c r="C13" s="12"/>
      <x:c r="D13" s="55"/>
      <x:c r="E13" s="12"/>
      <x:c r="F13" s="12"/>
      <x:c r="G13" s="12"/>
      <x:c r="H13" s="55"/>
      <x:c r="I13" s="12"/>
      <x:c r="J13" s="12"/>
      <x:c r="K13" s="12" t="str">
        <x:f>IF(OR(D13="",H13=""),"",IF(I13&lt;=J13,"Yes","No"))</x:f>
      </x:c>
      <x:c r="L13" s="12"/>
      <x:c r="M13" s="12"/>
      <x:c r="N13" s="12"/>
      <x:c r="O13" s="12"/>
      <x:c r="P13" s="12"/>
      <x:c r="Q13" s="12"/>
    </x:row>
    <x:row r="14">
      <x:c r="A14" s="12"/>
      <x:c r="B14" s="12"/>
      <x:c r="C14" s="12"/>
      <x:c r="D14" s="55"/>
      <x:c r="E14" s="12"/>
      <x:c r="F14" s="12"/>
      <x:c r="G14" s="12"/>
      <x:c r="H14" s="55"/>
      <x:c r="I14" s="12"/>
      <x:c r="J14" s="12"/>
      <x:c r="K14" s="12" t="str">
        <x:f>IF(OR(D14="",H14=""),"",IF(I14&lt;=J14,"Yes","No"))</x:f>
      </x:c>
      <x:c r="L14" s="12"/>
      <x:c r="M14" s="12"/>
      <x:c r="N14" s="12"/>
      <x:c r="O14" s="12"/>
      <x:c r="P14" s="12"/>
      <x:c r="Q14" s="12"/>
    </x:row>
    <x:row r="15">
      <x:c r="A15" s="12"/>
      <x:c r="B15" s="12"/>
      <x:c r="C15" s="12"/>
      <x:c r="D15" s="55"/>
      <x:c r="E15" s="12"/>
      <x:c r="F15" s="12"/>
      <x:c r="G15" s="12"/>
      <x:c r="H15" s="55"/>
      <x:c r="I15" s="12"/>
      <x:c r="J15" s="12"/>
      <x:c r="K15" s="12" t="str">
        <x:f>IF(OR(D15="",H15=""),"",IF(I15&lt;=J15,"Yes","No"))</x:f>
      </x:c>
      <x:c r="L15" s="12"/>
      <x:c r="M15" s="12"/>
      <x:c r="N15" s="12"/>
      <x:c r="O15" s="12"/>
      <x:c r="P15" s="12"/>
      <x:c r="Q15" s="12"/>
    </x:row>
    <x:row r="16">
      <x:c r="A16" s="12"/>
      <x:c r="B16" s="12"/>
      <x:c r="C16" s="12"/>
      <x:c r="D16" s="55"/>
      <x:c r="E16" s="12"/>
      <x:c r="F16" s="12"/>
      <x:c r="G16" s="12"/>
      <x:c r="H16" s="55"/>
      <x:c r="I16" s="12"/>
      <x:c r="J16" s="12"/>
      <x:c r="K16" s="12" t="str">
        <x:f>IF(OR(D16="",H16=""),"",IF(I16&lt;=J16,"Yes","No"))</x:f>
      </x:c>
      <x:c r="L16" s="12"/>
      <x:c r="M16" s="12"/>
      <x:c r="N16" s="12"/>
      <x:c r="O16" s="12"/>
      <x:c r="P16" s="12"/>
      <x:c r="Q16" s="12"/>
    </x:row>
    <x:row r="17">
      <x:c r="A17" s="12"/>
      <x:c r="B17" s="12"/>
      <x:c r="C17" s="12"/>
      <x:c r="D17" s="55"/>
      <x:c r="E17" s="12"/>
      <x:c r="F17" s="12"/>
      <x:c r="G17" s="12"/>
      <x:c r="H17" s="55"/>
      <x:c r="I17" s="12"/>
      <x:c r="J17" s="12"/>
      <x:c r="K17" s="12" t="str">
        <x:f>IF(OR(D17="",H17=""),"",IF(I17&lt;=J17,"Yes","No"))</x:f>
      </x:c>
      <x:c r="L17" s="12"/>
      <x:c r="M17" s="12"/>
      <x:c r="N17" s="12"/>
      <x:c r="O17" s="12"/>
      <x:c r="P17" s="12"/>
      <x:c r="Q17" s="12"/>
    </x:row>
    <x:row r="18">
      <x:c r="A18" s="12"/>
      <x:c r="B18" s="12"/>
      <x:c r="C18" s="12"/>
      <x:c r="D18" s="55"/>
      <x:c r="E18" s="12"/>
      <x:c r="F18" s="12"/>
      <x:c r="G18" s="12"/>
      <x:c r="H18" s="55"/>
      <x:c r="I18" s="12"/>
      <x:c r="J18" s="12"/>
      <x:c r="K18" s="12" t="str">
        <x:f>IF(OR(D18="",H18=""),"",IF(I18&lt;=J18,"Yes","No"))</x:f>
      </x:c>
      <x:c r="L18" s="12"/>
      <x:c r="M18" s="12"/>
      <x:c r="N18" s="12"/>
      <x:c r="O18" s="12"/>
      <x:c r="P18" s="12"/>
      <x:c r="Q18" s="12"/>
    </x:row>
    <x:row r="19">
      <x:c r="A19" s="12"/>
      <x:c r="B19" s="12"/>
      <x:c r="C19" s="12"/>
      <x:c r="D19" s="55"/>
      <x:c r="E19" s="12"/>
      <x:c r="F19" s="12"/>
      <x:c r="G19" s="12"/>
      <x:c r="H19" s="55"/>
      <x:c r="I19" s="12"/>
      <x:c r="J19" s="12"/>
      <x:c r="K19" s="12" t="str">
        <x:f>IF(OR(D19="",H19=""),"",IF(I19&lt;=J19,"Yes","No"))</x:f>
      </x:c>
      <x:c r="L19" s="12"/>
      <x:c r="M19" s="12"/>
      <x:c r="N19" s="12"/>
      <x:c r="O19" s="12"/>
      <x:c r="P19" s="12"/>
      <x:c r="Q19" s="12"/>
    </x:row>
    <x:row r="20">
      <x:c r="A20" s="12"/>
      <x:c r="B20" s="12"/>
      <x:c r="C20" s="12"/>
      <x:c r="D20" s="55"/>
      <x:c r="E20" s="12"/>
      <x:c r="F20" s="12"/>
      <x:c r="G20" s="12"/>
      <x:c r="H20" s="55"/>
      <x:c r="I20" s="12"/>
      <x:c r="J20" s="12"/>
      <x:c r="K20" s="12" t="str">
        <x:f>IF(OR(D20="",H20=""),"",IF(I20&lt;=J20,"Yes","No"))</x:f>
      </x:c>
      <x:c r="L20" s="12"/>
      <x:c r="M20" s="12"/>
      <x:c r="N20" s="12"/>
      <x:c r="O20" s="12"/>
      <x:c r="P20" s="12"/>
      <x:c r="Q20" s="12"/>
    </x:row>
    <x:row r="21">
      <x:c r="A21" s="12"/>
      <x:c r="B21" s="12"/>
      <x:c r="C21" s="12"/>
      <x:c r="D21" s="55"/>
      <x:c r="E21" s="12"/>
      <x:c r="F21" s="12"/>
      <x:c r="G21" s="12"/>
      <x:c r="H21" s="55"/>
      <x:c r="I21" s="12"/>
      <x:c r="J21" s="12"/>
      <x:c r="K21" s="12" t="str">
        <x:f>IF(OR(D21="",H21=""),"",IF(I21&lt;=J21,"Yes","No"))</x:f>
      </x:c>
      <x:c r="L21" s="12"/>
      <x:c r="M21" s="12"/>
      <x:c r="N21" s="12"/>
      <x:c r="O21" s="12"/>
      <x:c r="P21" s="12"/>
      <x:c r="Q21" s="12"/>
    </x:row>
    <x:row r="22">
      <x:c r="A22" s="12"/>
      <x:c r="B22" s="12"/>
      <x:c r="C22" s="12"/>
      <x:c r="D22" s="55"/>
      <x:c r="E22" s="12"/>
      <x:c r="F22" s="12"/>
      <x:c r="G22" s="12"/>
      <x:c r="H22" s="55"/>
      <x:c r="I22" s="12"/>
      <x:c r="J22" s="12"/>
      <x:c r="K22" s="12" t="str">
        <x:f>IF(OR(D22="",H22=""),"",IF(I22&lt;=J22,"Yes","No"))</x:f>
      </x:c>
      <x:c r="L22" s="12"/>
      <x:c r="M22" s="12"/>
      <x:c r="N22" s="12"/>
      <x:c r="O22" s="12"/>
      <x:c r="P22" s="12"/>
      <x:c r="Q22" s="12"/>
    </x:row>
    <x:row r="23">
      <x:c r="A23" s="12"/>
      <x:c r="B23" s="12"/>
      <x:c r="C23" s="12"/>
      <x:c r="D23" s="55"/>
      <x:c r="E23" s="12"/>
      <x:c r="F23" s="12"/>
      <x:c r="G23" s="12"/>
      <x:c r="H23" s="55"/>
      <x:c r="I23" s="12"/>
      <x:c r="J23" s="12"/>
      <x:c r="K23" s="12" t="str">
        <x:f>IF(OR(D23="",H23=""),"",IF(I23&lt;=J23,"Yes","No"))</x:f>
      </x:c>
      <x:c r="L23" s="12"/>
      <x:c r="M23" s="12"/>
      <x:c r="N23" s="12"/>
      <x:c r="O23" s="12"/>
      <x:c r="P23" s="12"/>
      <x:c r="Q23" s="12"/>
    </x:row>
    <x:row r="24">
      <x:c r="A24" s="12"/>
      <x:c r="B24" s="12"/>
      <x:c r="C24" s="12"/>
      <x:c r="D24" s="55"/>
      <x:c r="E24" s="12"/>
      <x:c r="F24" s="12"/>
      <x:c r="G24" s="12"/>
      <x:c r="H24" s="55"/>
      <x:c r="I24" s="12"/>
      <x:c r="J24" s="12"/>
      <x:c r="K24" s="12" t="str">
        <x:f>IF(OR(D24="",H24=""),"",IF(I24&lt;=J24,"Yes","No"))</x:f>
      </x:c>
      <x:c r="L24" s="12"/>
      <x:c r="M24" s="12"/>
      <x:c r="N24" s="12"/>
      <x:c r="O24" s="12"/>
      <x:c r="P24" s="12"/>
      <x:c r="Q24" s="12"/>
    </x:row>
    <x:row r="25">
      <x:c r="A25" s="12"/>
      <x:c r="B25" s="12"/>
      <x:c r="C25" s="12"/>
      <x:c r="D25" s="55"/>
      <x:c r="E25" s="12"/>
      <x:c r="F25" s="12"/>
      <x:c r="G25" s="12"/>
      <x:c r="H25" s="55"/>
      <x:c r="I25" s="12"/>
      <x:c r="J25" s="12"/>
      <x:c r="K25" s="12" t="str">
        <x:f>IF(OR(D25="",H25=""),"",IF(I25&lt;=J25,"Yes","No"))</x:f>
      </x:c>
      <x:c r="L25" s="12"/>
      <x:c r="M25" s="12"/>
      <x:c r="N25" s="12"/>
      <x:c r="O25" s="12"/>
      <x:c r="P25" s="12"/>
      <x:c r="Q25" s="12"/>
    </x:row>
    <x:row r="26">
      <x:c r="A26" s="12"/>
      <x:c r="B26" s="12"/>
      <x:c r="C26" s="12"/>
      <x:c r="D26" s="55"/>
      <x:c r="E26" s="12"/>
      <x:c r="F26" s="12"/>
      <x:c r="G26" s="12"/>
      <x:c r="H26" s="55"/>
      <x:c r="I26" s="12"/>
      <x:c r="J26" s="12"/>
      <x:c r="K26" s="12" t="str">
        <x:f>IF(OR(D26="",H26=""),"",IF(I26&lt;=J26,"Yes","No"))</x:f>
      </x:c>
      <x:c r="L26" s="12"/>
      <x:c r="M26" s="12"/>
      <x:c r="N26" s="12"/>
      <x:c r="O26" s="12"/>
      <x:c r="P26" s="12"/>
      <x:c r="Q26" s="12"/>
    </x:row>
    <x:row r="27">
      <x:c r="A27" s="12"/>
      <x:c r="B27" s="12"/>
      <x:c r="C27" s="12"/>
      <x:c r="D27" s="55"/>
      <x:c r="E27" s="12"/>
      <x:c r="F27" s="12"/>
      <x:c r="G27" s="12"/>
      <x:c r="H27" s="55"/>
      <x:c r="I27" s="12"/>
      <x:c r="J27" s="12"/>
      <x:c r="K27" s="12" t="str">
        <x:f>IF(OR(D27="",H27=""),"",IF(I27&lt;=J27,"Yes","No"))</x:f>
      </x:c>
      <x:c r="L27" s="12"/>
      <x:c r="M27" s="12"/>
      <x:c r="N27" s="12"/>
      <x:c r="O27" s="12"/>
      <x:c r="P27" s="12"/>
      <x:c r="Q27" s="12"/>
    </x:row>
    <x:row r="28">
      <x:c r="A28" s="12"/>
      <x:c r="B28" s="12"/>
      <x:c r="C28" s="12"/>
      <x:c r="D28" s="55"/>
      <x:c r="E28" s="12"/>
      <x:c r="F28" s="12"/>
      <x:c r="G28" s="12"/>
      <x:c r="H28" s="55"/>
      <x:c r="I28" s="12"/>
      <x:c r="J28" s="12"/>
      <x:c r="K28" s="12" t="str">
        <x:f>IF(OR(D28="",H28=""),"",IF(I28&lt;=J28,"Yes","No"))</x:f>
      </x:c>
      <x:c r="L28" s="12"/>
      <x:c r="M28" s="12"/>
      <x:c r="N28" s="12"/>
      <x:c r="O28" s="12"/>
      <x:c r="P28" s="12"/>
      <x:c r="Q28" s="12"/>
    </x:row>
    <x:row r="29">
      <x:c r="A29" s="12"/>
      <x:c r="B29" s="12"/>
      <x:c r="C29" s="12"/>
      <x:c r="D29" s="55"/>
      <x:c r="E29" s="12"/>
      <x:c r="F29" s="12"/>
      <x:c r="G29" s="12"/>
      <x:c r="H29" s="55"/>
      <x:c r="I29" s="12"/>
      <x:c r="J29" s="12"/>
      <x:c r="K29" s="12" t="str">
        <x:f>IF(OR(D29="",H29=""),"",IF(I29&lt;=J29,"Yes","No"))</x:f>
      </x:c>
      <x:c r="L29" s="12"/>
      <x:c r="M29" s="12"/>
      <x:c r="N29" s="12"/>
      <x:c r="O29" s="12"/>
      <x:c r="P29" s="12"/>
      <x:c r="Q29" s="12"/>
    </x:row>
    <x:row r="30">
      <x:c r="A30" s="12"/>
      <x:c r="B30" s="12"/>
      <x:c r="C30" s="12"/>
      <x:c r="D30" s="55"/>
      <x:c r="E30" s="12"/>
      <x:c r="F30" s="12"/>
      <x:c r="G30" s="12"/>
      <x:c r="H30" s="55"/>
      <x:c r="I30" s="12"/>
      <x:c r="J30" s="12"/>
      <x:c r="K30" s="12" t="str">
        <x:f>IF(OR(D30="",H30=""),"",IF(I30&lt;=J30,"Yes","No"))</x:f>
      </x:c>
      <x:c r="L30" s="12"/>
      <x:c r="M30" s="12"/>
      <x:c r="N30" s="12"/>
      <x:c r="O30" s="12"/>
      <x:c r="P30" s="12"/>
      <x:c r="Q30" s="12"/>
    </x:row>
    <x:row r="31">
      <x:c r="A31" s="12"/>
      <x:c r="B31" s="12"/>
      <x:c r="C31" s="12"/>
      <x:c r="D31" s="55"/>
      <x:c r="E31" s="12"/>
      <x:c r="F31" s="12"/>
      <x:c r="G31" s="12"/>
      <x:c r="H31" s="55"/>
      <x:c r="I31" s="12"/>
      <x:c r="J31" s="12"/>
      <x:c r="K31" s="12" t="str">
        <x:f>IF(OR(D31="",H31=""),"",IF(I31&lt;=J31,"Yes","No"))</x:f>
      </x:c>
      <x:c r="L31" s="12"/>
      <x:c r="M31" s="12"/>
      <x:c r="N31" s="12"/>
      <x:c r="O31" s="12"/>
      <x:c r="P31" s="12"/>
      <x:c r="Q31" s="12"/>
    </x:row>
    <x:row r="32">
      <x:c r="A32" s="12"/>
      <x:c r="B32" s="12"/>
      <x:c r="C32" s="12"/>
      <x:c r="D32" s="55"/>
      <x:c r="E32" s="12"/>
      <x:c r="F32" s="12"/>
      <x:c r="G32" s="12"/>
      <x:c r="H32" s="55"/>
      <x:c r="I32" s="12"/>
      <x:c r="J32" s="12"/>
      <x:c r="K32" s="12" t="str">
        <x:f>IF(OR(D32="",H32=""),"",IF(I32&lt;=J32,"Yes","No"))</x:f>
      </x:c>
      <x:c r="L32" s="12"/>
      <x:c r="M32" s="12"/>
      <x:c r="N32" s="12"/>
      <x:c r="O32" s="12"/>
      <x:c r="P32" s="12"/>
      <x:c r="Q32" s="12"/>
    </x:row>
    <x:row r="33">
      <x:c r="A33" s="12"/>
      <x:c r="B33" s="12"/>
      <x:c r="C33" s="12"/>
      <x:c r="D33" s="55"/>
      <x:c r="E33" s="12"/>
      <x:c r="F33" s="12"/>
      <x:c r="G33" s="12"/>
      <x:c r="H33" s="55"/>
      <x:c r="I33" s="12"/>
      <x:c r="J33" s="12"/>
      <x:c r="K33" s="12" t="str">
        <x:f>IF(OR(D33="",H33=""),"",IF(I33&lt;=J33,"Yes","No"))</x:f>
      </x:c>
      <x:c r="L33" s="12"/>
      <x:c r="M33" s="12"/>
      <x:c r="N33" s="12"/>
      <x:c r="O33" s="12"/>
      <x:c r="P33" s="12"/>
      <x:c r="Q33" s="12"/>
    </x:row>
    <x:row r="34">
      <x:c r="A34" s="12"/>
      <x:c r="B34" s="12"/>
      <x:c r="C34" s="12"/>
      <x:c r="D34" s="55"/>
      <x:c r="E34" s="12"/>
      <x:c r="F34" s="12"/>
      <x:c r="G34" s="12"/>
      <x:c r="H34" s="55"/>
      <x:c r="I34" s="12"/>
      <x:c r="J34" s="12"/>
      <x:c r="K34" s="12" t="str">
        <x:f>IF(OR(D34="",H34=""),"",IF(I34&lt;=J34,"Yes","No"))</x:f>
      </x:c>
      <x:c r="L34" s="12"/>
      <x:c r="M34" s="12"/>
      <x:c r="N34" s="12"/>
      <x:c r="O34" s="12"/>
      <x:c r="P34" s="12"/>
      <x:c r="Q34" s="12"/>
    </x:row>
    <x:row r="35">
      <x:c r="A35" s="12"/>
      <x:c r="B35" s="12"/>
      <x:c r="C35" s="12"/>
      <x:c r="D35" s="55"/>
      <x:c r="E35" s="12"/>
      <x:c r="F35" s="12"/>
      <x:c r="G35" s="12"/>
      <x:c r="H35" s="55"/>
      <x:c r="I35" s="12"/>
      <x:c r="J35" s="12"/>
      <x:c r="K35" s="12" t="str">
        <x:f>IF(OR(D35="",H35=""),"",IF(I35&lt;=J35,"Yes","No"))</x:f>
      </x:c>
      <x:c r="L35" s="12"/>
      <x:c r="M35" s="12"/>
      <x:c r="N35" s="12"/>
      <x:c r="O35" s="12"/>
      <x:c r="P35" s="12"/>
      <x:c r="Q35" s="12"/>
    </x:row>
    <x:row r="36">
      <x:c r="A36" s="12"/>
      <x:c r="B36" s="12"/>
      <x:c r="C36" s="12"/>
      <x:c r="D36" s="55"/>
      <x:c r="E36" s="12"/>
      <x:c r="F36" s="12"/>
      <x:c r="G36" s="12"/>
      <x:c r="H36" s="55"/>
      <x:c r="I36" s="12"/>
      <x:c r="J36" s="12"/>
      <x:c r="K36" s="12" t="str">
        <x:f>IF(OR(D36="",H36=""),"",IF(I36&lt;=J36,"Yes","No"))</x:f>
      </x:c>
      <x:c r="L36" s="12"/>
      <x:c r="M36" s="12"/>
      <x:c r="N36" s="12"/>
      <x:c r="O36" s="12"/>
      <x:c r="P36" s="12"/>
      <x:c r="Q36" s="12"/>
    </x:row>
    <x:row r="37">
      <x:c r="A37" s="12"/>
      <x:c r="B37" s="12"/>
      <x:c r="C37" s="12"/>
      <x:c r="D37" s="55"/>
      <x:c r="E37" s="12"/>
      <x:c r="F37" s="12"/>
      <x:c r="G37" s="12"/>
      <x:c r="H37" s="55"/>
      <x:c r="I37" s="12"/>
      <x:c r="J37" s="12"/>
      <x:c r="K37" s="12" t="str">
        <x:f>IF(OR(D37="",H37=""),"",IF(I37&lt;=J37,"Yes","No"))</x:f>
      </x:c>
      <x:c r="L37" s="12"/>
      <x:c r="M37" s="12"/>
      <x:c r="N37" s="12"/>
      <x:c r="O37" s="12"/>
      <x:c r="P37" s="12"/>
      <x:c r="Q37" s="12"/>
    </x:row>
    <x:row r="38">
      <x:c r="A38" s="12"/>
      <x:c r="B38" s="12"/>
      <x:c r="C38" s="12"/>
      <x:c r="D38" s="55"/>
      <x:c r="E38" s="12"/>
      <x:c r="F38" s="12"/>
      <x:c r="G38" s="12"/>
      <x:c r="H38" s="55"/>
      <x:c r="I38" s="12"/>
      <x:c r="J38" s="12"/>
      <x:c r="K38" s="12" t="str">
        <x:f>IF(OR(D38="",H38=""),"",IF(I38&lt;=J38,"Yes","No"))</x:f>
      </x:c>
      <x:c r="L38" s="12"/>
      <x:c r="M38" s="12"/>
      <x:c r="N38" s="12"/>
      <x:c r="O38" s="12"/>
      <x:c r="P38" s="12"/>
      <x:c r="Q38" s="12"/>
    </x:row>
    <x:row r="39">
      <x:c r="A39" s="12"/>
      <x:c r="B39" s="12"/>
      <x:c r="C39" s="12"/>
      <x:c r="D39" s="55"/>
      <x:c r="E39" s="12"/>
      <x:c r="F39" s="12"/>
      <x:c r="G39" s="12"/>
      <x:c r="H39" s="55"/>
      <x:c r="I39" s="12"/>
      <x:c r="J39" s="12"/>
      <x:c r="K39" s="12" t="str">
        <x:f>IF(OR(D39="",H39=""),"",IF(I39&lt;=J39,"Yes","No"))</x:f>
      </x:c>
      <x:c r="L39" s="12"/>
      <x:c r="M39" s="12"/>
      <x:c r="N39" s="12"/>
      <x:c r="O39" s="12"/>
      <x:c r="P39" s="12"/>
      <x:c r="Q39" s="12"/>
    </x:row>
    <x:row r="40">
      <x:c r="A40" s="12"/>
      <x:c r="B40" s="12"/>
      <x:c r="C40" s="12"/>
      <x:c r="D40" s="55"/>
      <x:c r="E40" s="12"/>
      <x:c r="F40" s="12"/>
      <x:c r="G40" s="12"/>
      <x:c r="H40" s="55"/>
      <x:c r="I40" s="12"/>
      <x:c r="J40" s="12"/>
      <x:c r="K40" s="12" t="str">
        <x:f>IF(OR(D40="",H40=""),"",IF(I40&lt;=J40,"Yes","No"))</x:f>
      </x:c>
      <x:c r="L40" s="12"/>
      <x:c r="M40" s="12"/>
      <x:c r="N40" s="12"/>
      <x:c r="O40" s="12"/>
      <x:c r="P40" s="12"/>
      <x:c r="Q40" s="12"/>
    </x:row>
    <x:row r="41">
      <x:c r="A41" s="12"/>
      <x:c r="B41" s="12"/>
      <x:c r="C41" s="12"/>
      <x:c r="D41" s="55"/>
      <x:c r="E41" s="12"/>
      <x:c r="F41" s="12"/>
      <x:c r="G41" s="12"/>
      <x:c r="H41" s="55"/>
      <x:c r="I41" s="12"/>
      <x:c r="J41" s="12"/>
      <x:c r="K41" s="12" t="str">
        <x:f>IF(OR(D41="",H41=""),"",IF(I41&lt;=J41,"Yes","No"))</x:f>
      </x:c>
      <x:c r="L41" s="12"/>
      <x:c r="M41" s="12"/>
      <x:c r="N41" s="12"/>
      <x:c r="O41" s="12"/>
      <x:c r="P41" s="12"/>
      <x:c r="Q41" s="12"/>
    </x:row>
    <x:row r="42">
      <x:c r="A42" s="12"/>
      <x:c r="B42" s="12"/>
      <x:c r="C42" s="12"/>
      <x:c r="D42" s="55"/>
      <x:c r="E42" s="12"/>
      <x:c r="F42" s="12"/>
      <x:c r="G42" s="12"/>
      <x:c r="H42" s="55"/>
      <x:c r="I42" s="12"/>
      <x:c r="J42" s="12"/>
      <x:c r="K42" s="12" t="str">
        <x:f>IF(OR(D42="",H42=""),"",IF(I42&lt;=J42,"Yes","No"))</x:f>
      </x:c>
      <x:c r="L42" s="12"/>
      <x:c r="M42" s="12"/>
      <x:c r="N42" s="12"/>
      <x:c r="O42" s="12"/>
      <x:c r="P42" s="12"/>
      <x:c r="Q42" s="12"/>
    </x:row>
    <x:row r="43">
      <x:c r="A43" s="12"/>
      <x:c r="B43" s="12"/>
      <x:c r="C43" s="12"/>
      <x:c r="D43" s="55"/>
      <x:c r="E43" s="12"/>
      <x:c r="F43" s="12"/>
      <x:c r="G43" s="12"/>
      <x:c r="H43" s="55"/>
      <x:c r="I43" s="12"/>
      <x:c r="J43" s="12"/>
      <x:c r="K43" s="12" t="str">
        <x:f>IF(OR(D43="",H43=""),"",IF(I43&lt;=J43,"Yes","No"))</x:f>
      </x:c>
      <x:c r="L43" s="12"/>
      <x:c r="M43" s="12"/>
      <x:c r="N43" s="12"/>
      <x:c r="O43" s="12"/>
      <x:c r="P43" s="12"/>
      <x:c r="Q43" s="12"/>
    </x:row>
    <x:row r="44">
      <x:c r="A44" s="12"/>
      <x:c r="B44" s="12"/>
      <x:c r="C44" s="12"/>
      <x:c r="D44" s="55"/>
      <x:c r="E44" s="12"/>
      <x:c r="F44" s="12"/>
      <x:c r="G44" s="12"/>
      <x:c r="H44" s="55"/>
      <x:c r="I44" s="12"/>
      <x:c r="J44" s="12"/>
      <x:c r="K44" s="12" t="str">
        <x:f>IF(OR(D44="",H44=""),"",IF(I44&lt;=J44,"Yes","No"))</x:f>
      </x:c>
      <x:c r="L44" s="12"/>
      <x:c r="M44" s="12"/>
      <x:c r="N44" s="12"/>
      <x:c r="O44" s="12"/>
      <x:c r="P44" s="12"/>
      <x:c r="Q44" s="12"/>
    </x:row>
    <x:row r="45">
      <x:c r="A45" s="12"/>
      <x:c r="B45" s="12"/>
      <x:c r="C45" s="12"/>
      <x:c r="D45" s="55"/>
      <x:c r="E45" s="12"/>
      <x:c r="F45" s="12"/>
      <x:c r="G45" s="12"/>
      <x:c r="H45" s="55"/>
      <x:c r="I45" s="12"/>
      <x:c r="J45" s="12"/>
      <x:c r="K45" s="12" t="str">
        <x:f>IF(OR(D45="",H45=""),"",IF(I45&lt;=J45,"Yes","No"))</x:f>
      </x:c>
      <x:c r="L45" s="12"/>
      <x:c r="M45" s="12"/>
      <x:c r="N45" s="12"/>
      <x:c r="O45" s="12"/>
      <x:c r="P45" s="12"/>
      <x:c r="Q45" s="12"/>
    </x:row>
    <x:row r="46">
      <x:c r="A46" s="12"/>
      <x:c r="B46" s="12"/>
      <x:c r="C46" s="12"/>
      <x:c r="D46" s="55"/>
      <x:c r="E46" s="12"/>
      <x:c r="F46" s="12"/>
      <x:c r="G46" s="12"/>
      <x:c r="H46" s="55"/>
      <x:c r="I46" s="12"/>
      <x:c r="J46" s="12"/>
      <x:c r="K46" s="12" t="str">
        <x:f>IF(OR(D46="",H46=""),"",IF(I46&lt;=J46,"Yes","No"))</x:f>
      </x:c>
      <x:c r="L46" s="12"/>
      <x:c r="M46" s="12"/>
      <x:c r="N46" s="12"/>
      <x:c r="O46" s="12"/>
      <x:c r="P46" s="12"/>
      <x:c r="Q46" s="12"/>
    </x:row>
    <x:row r="47">
      <x:c r="A47" s="12"/>
      <x:c r="B47" s="12"/>
      <x:c r="C47" s="12"/>
      <x:c r="D47" s="55"/>
      <x:c r="E47" s="12"/>
      <x:c r="F47" s="12"/>
      <x:c r="G47" s="12"/>
      <x:c r="H47" s="55"/>
      <x:c r="I47" s="12"/>
      <x:c r="J47" s="12"/>
      <x:c r="K47" s="12" t="str">
        <x:f>IF(OR(D47="",H47=""),"",IF(I47&lt;=J47,"Yes","No"))</x:f>
      </x:c>
      <x:c r="L47" s="12"/>
      <x:c r="M47" s="12"/>
      <x:c r="N47" s="12"/>
      <x:c r="O47" s="12"/>
      <x:c r="P47" s="12"/>
      <x:c r="Q47" s="12"/>
    </x:row>
    <x:row r="48">
      <x:c r="A48" s="12"/>
      <x:c r="B48" s="12"/>
      <x:c r="C48" s="12"/>
      <x:c r="D48" s="55"/>
      <x:c r="E48" s="12"/>
      <x:c r="F48" s="12"/>
      <x:c r="G48" s="12"/>
      <x:c r="H48" s="55"/>
      <x:c r="I48" s="12"/>
      <x:c r="J48" s="12"/>
      <x:c r="K48" s="12" t="str">
        <x:f>IF(OR(D48="",H48=""),"",IF(I48&lt;=J48,"Yes","No"))</x:f>
      </x:c>
      <x:c r="L48" s="12"/>
      <x:c r="M48" s="12"/>
      <x:c r="N48" s="12"/>
      <x:c r="O48" s="12"/>
      <x:c r="P48" s="12"/>
      <x:c r="Q48" s="12"/>
    </x:row>
    <x:row r="49">
      <x:c r="A49" s="12"/>
      <x:c r="B49" s="12"/>
      <x:c r="C49" s="12"/>
      <x:c r="D49" s="55"/>
      <x:c r="E49" s="12"/>
      <x:c r="F49" s="12"/>
      <x:c r="G49" s="12"/>
      <x:c r="H49" s="55"/>
      <x:c r="I49" s="12"/>
      <x:c r="J49" s="12"/>
      <x:c r="K49" s="12" t="str">
        <x:f>IF(OR(D49="",H49=""),"",IF(I49&lt;=J49,"Yes","No"))</x:f>
      </x:c>
      <x:c r="L49" s="12"/>
      <x:c r="M49" s="12"/>
      <x:c r="N49" s="12"/>
      <x:c r="O49" s="12"/>
      <x:c r="P49" s="12"/>
      <x:c r="Q49" s="12"/>
    </x:row>
    <x:row r="50">
      <x:c r="A50" s="12"/>
      <x:c r="B50" s="12"/>
      <x:c r="C50" s="12"/>
      <x:c r="D50" s="55"/>
      <x:c r="E50" s="12"/>
      <x:c r="F50" s="12"/>
      <x:c r="G50" s="12"/>
      <x:c r="H50" s="55"/>
      <x:c r="I50" s="12"/>
      <x:c r="J50" s="12"/>
      <x:c r="K50" s="12" t="str">
        <x:f>IF(OR(D50="",H50=""),"",IF(I50&lt;=J50,"Yes","No"))</x:f>
      </x:c>
      <x:c r="L50" s="12"/>
      <x:c r="M50" s="12"/>
      <x:c r="N50" s="12"/>
      <x:c r="O50" s="12"/>
      <x:c r="P50" s="12"/>
      <x:c r="Q50" s="12"/>
    </x:row>
    <x:row r="51">
      <x:c r="A51" s="12"/>
      <x:c r="B51" s="12"/>
      <x:c r="C51" s="12"/>
      <x:c r="D51" s="55"/>
      <x:c r="E51" s="12"/>
      <x:c r="F51" s="12"/>
      <x:c r="G51" s="12"/>
      <x:c r="H51" s="55"/>
      <x:c r="I51" s="12"/>
      <x:c r="J51" s="12"/>
      <x:c r="K51" s="12" t="str">
        <x:f>IF(OR(D51="",H51=""),"",IF(I51&lt;=J51,"Yes","No"))</x:f>
      </x:c>
      <x:c r="L51" s="12"/>
      <x:c r="M51" s="12"/>
      <x:c r="N51" s="12"/>
      <x:c r="O51" s="12"/>
      <x:c r="P51" s="12"/>
      <x:c r="Q51" s="12"/>
    </x:row>
    <x:row r="52">
      <x:c r="A52" s="12"/>
      <x:c r="B52" s="12"/>
      <x:c r="C52" s="12"/>
      <x:c r="D52" s="55"/>
      <x:c r="E52" s="12"/>
      <x:c r="F52" s="12"/>
      <x:c r="G52" s="12"/>
      <x:c r="H52" s="55"/>
      <x:c r="I52" s="12"/>
      <x:c r="J52" s="12"/>
      <x:c r="K52" s="12" t="str">
        <x:f>IF(OR(D52="",H52=""),"",IF(I52&lt;=J52,"Yes","No"))</x:f>
      </x:c>
      <x:c r="L52" s="12"/>
      <x:c r="M52" s="12"/>
      <x:c r="N52" s="12"/>
      <x:c r="O52" s="12"/>
      <x:c r="P52" s="12"/>
      <x:c r="Q52" s="12"/>
    </x:row>
    <x:row r="53">
      <x:c r="A53" s="12"/>
      <x:c r="B53" s="12"/>
      <x:c r="C53" s="12"/>
      <x:c r="D53" s="55"/>
      <x:c r="E53" s="12"/>
      <x:c r="F53" s="12"/>
      <x:c r="G53" s="12"/>
      <x:c r="H53" s="55"/>
      <x:c r="I53" s="12"/>
      <x:c r="J53" s="12"/>
      <x:c r="K53" s="12" t="str">
        <x:f>IF(OR(D53="",H53=""),"",IF(I53&lt;=J53,"Yes","No"))</x:f>
      </x:c>
      <x:c r="L53" s="12"/>
      <x:c r="M53" s="12"/>
      <x:c r="N53" s="12"/>
      <x:c r="O53" s="12"/>
      <x:c r="P53" s="12"/>
      <x:c r="Q53" s="12"/>
    </x:row>
    <x:row r="54">
      <x:c r="A54" s="12"/>
      <x:c r="B54" s="12"/>
      <x:c r="C54" s="12"/>
      <x:c r="D54" s="55"/>
      <x:c r="E54" s="12"/>
      <x:c r="F54" s="12"/>
      <x:c r="G54" s="12"/>
      <x:c r="H54" s="55"/>
      <x:c r="I54" s="12"/>
      <x:c r="J54" s="12"/>
      <x:c r="K54" s="12" t="str">
        <x:f>IF(OR(D54="",H54=""),"",IF(I54&lt;=J54,"Yes","No"))</x:f>
      </x:c>
      <x:c r="L54" s="12"/>
      <x:c r="M54" s="12"/>
      <x:c r="N54" s="12"/>
      <x:c r="O54" s="12"/>
      <x:c r="P54" s="12"/>
      <x:c r="Q54" s="12"/>
    </x:row>
    <x:row r="55">
      <x:c r="A55" s="12"/>
      <x:c r="B55" s="12"/>
      <x:c r="C55" s="12"/>
      <x:c r="D55" s="55"/>
      <x:c r="E55" s="12"/>
      <x:c r="F55" s="12"/>
      <x:c r="G55" s="12"/>
      <x:c r="H55" s="55"/>
      <x:c r="I55" s="12"/>
      <x:c r="J55" s="12"/>
      <x:c r="K55" s="12" t="str">
        <x:f>IF(OR(D55="",H55=""),"",IF(I55&lt;=J55,"Yes","No"))</x:f>
      </x:c>
      <x:c r="L55" s="12"/>
      <x:c r="M55" s="12"/>
      <x:c r="N55" s="12"/>
      <x:c r="O55" s="12"/>
      <x:c r="P55" s="12"/>
      <x:c r="Q55" s="12"/>
    </x:row>
    <x:row r="56">
      <x:c r="A56" s="12"/>
      <x:c r="B56" s="12"/>
      <x:c r="C56" s="12"/>
      <x:c r="D56" s="55"/>
      <x:c r="E56" s="12"/>
      <x:c r="F56" s="12"/>
      <x:c r="G56" s="12"/>
      <x:c r="H56" s="55"/>
      <x:c r="I56" s="12"/>
      <x:c r="J56" s="12"/>
      <x:c r="K56" s="12" t="str">
        <x:f>IF(OR(D56="",H56=""),"",IF(I56&lt;=J56,"Yes","No"))</x:f>
      </x:c>
      <x:c r="L56" s="12"/>
      <x:c r="M56" s="12"/>
      <x:c r="N56" s="12"/>
      <x:c r="O56" s="12"/>
      <x:c r="P56" s="12"/>
      <x:c r="Q56" s="12"/>
    </x:row>
    <x:row r="57">
      <x:c r="A57" s="12"/>
      <x:c r="B57" s="12"/>
      <x:c r="C57" s="12"/>
      <x:c r="D57" s="55"/>
      <x:c r="E57" s="12"/>
      <x:c r="F57" s="12"/>
      <x:c r="G57" s="12"/>
      <x:c r="H57" s="55"/>
      <x:c r="I57" s="12"/>
      <x:c r="J57" s="12"/>
      <x:c r="K57" s="12" t="str">
        <x:f>IF(OR(D57="",H57=""),"",IF(I57&lt;=J57,"Yes","No"))</x:f>
      </x:c>
      <x:c r="L57" s="12"/>
      <x:c r="M57" s="12"/>
      <x:c r="N57" s="12"/>
      <x:c r="O57" s="12"/>
      <x:c r="P57" s="12"/>
      <x:c r="Q57" s="12"/>
    </x:row>
    <x:row r="58">
      <x:c r="A58" s="12"/>
      <x:c r="B58" s="12"/>
      <x:c r="C58" s="12"/>
      <x:c r="D58" s="55"/>
      <x:c r="E58" s="12"/>
      <x:c r="F58" s="12"/>
      <x:c r="G58" s="12"/>
      <x:c r="H58" s="55"/>
      <x:c r="I58" s="12"/>
      <x:c r="J58" s="12"/>
      <x:c r="K58" s="12" t="str">
        <x:f>IF(OR(D58="",H58=""),"",IF(I58&lt;=J58,"Yes","No"))</x:f>
      </x:c>
      <x:c r="L58" s="12"/>
      <x:c r="M58" s="12"/>
      <x:c r="N58" s="12"/>
      <x:c r="O58" s="12"/>
      <x:c r="P58" s="12"/>
      <x:c r="Q58" s="12"/>
    </x:row>
    <x:row r="59">
      <x:c r="A59" s="12"/>
      <x:c r="B59" s="12"/>
      <x:c r="C59" s="12"/>
      <x:c r="D59" s="55"/>
      <x:c r="E59" s="12"/>
      <x:c r="F59" s="12"/>
      <x:c r="G59" s="12"/>
      <x:c r="H59" s="55"/>
      <x:c r="I59" s="12"/>
      <x:c r="J59" s="12"/>
      <x:c r="K59" s="12" t="str">
        <x:f>IF(OR(D59="",H59=""),"",IF(I59&lt;=J59,"Yes","No"))</x:f>
      </x:c>
      <x:c r="L59" s="12"/>
      <x:c r="M59" s="12"/>
      <x:c r="N59" s="12"/>
      <x:c r="O59" s="12"/>
      <x:c r="P59" s="12"/>
      <x:c r="Q59" s="12"/>
    </x:row>
    <x:row r="60">
      <x:c r="A60" s="12"/>
      <x:c r="B60" s="12"/>
      <x:c r="C60" s="12"/>
      <x:c r="D60" s="55"/>
      <x:c r="E60" s="12"/>
      <x:c r="F60" s="12"/>
      <x:c r="G60" s="12"/>
      <x:c r="H60" s="55"/>
      <x:c r="I60" s="12"/>
      <x:c r="J60" s="12"/>
      <x:c r="K60" s="12" t="str">
        <x:f>IF(OR(D60="",H60=""),"",IF(I60&lt;=J60,"Yes","No"))</x:f>
      </x:c>
      <x:c r="L60" s="12"/>
      <x:c r="M60" s="12"/>
      <x:c r="N60" s="12"/>
      <x:c r="O60" s="12"/>
      <x:c r="P60" s="12"/>
      <x:c r="Q60" s="12"/>
    </x:row>
    <x:row r="61">
      <x:c r="A61" s="12"/>
      <x:c r="B61" s="12"/>
      <x:c r="C61" s="12"/>
      <x:c r="D61" s="55"/>
      <x:c r="E61" s="12"/>
      <x:c r="F61" s="12"/>
      <x:c r="G61" s="12"/>
      <x:c r="H61" s="55"/>
      <x:c r="I61" s="12"/>
      <x:c r="J61" s="12"/>
      <x:c r="K61" s="12" t="str">
        <x:f>IF(OR(D61="",H61=""),"",IF(I61&lt;=J61,"Yes","No"))</x:f>
      </x:c>
      <x:c r="L61" s="12"/>
      <x:c r="M61" s="12"/>
      <x:c r="N61" s="12"/>
      <x:c r="O61" s="12"/>
      <x:c r="P61" s="12"/>
      <x:c r="Q61" s="12"/>
    </x:row>
    <x:row r="62">
      <x:c r="A62" s="12"/>
      <x:c r="B62" s="12"/>
      <x:c r="C62" s="12"/>
      <x:c r="D62" s="55"/>
      <x:c r="E62" s="12"/>
      <x:c r="F62" s="12"/>
      <x:c r="G62" s="12"/>
      <x:c r="H62" s="55"/>
      <x:c r="I62" s="12"/>
      <x:c r="J62" s="12"/>
      <x:c r="K62" s="12" t="str">
        <x:f>IF(OR(D62="",H62=""),"",IF(I62&lt;=J62,"Yes","No"))</x:f>
      </x:c>
      <x:c r="L62" s="12"/>
      <x:c r="M62" s="12"/>
      <x:c r="N62" s="12"/>
      <x:c r="O62" s="12"/>
      <x:c r="P62" s="12"/>
      <x:c r="Q62" s="12"/>
    </x:row>
    <x:row r="63">
      <x:c r="A63" s="12"/>
      <x:c r="B63" s="12"/>
      <x:c r="C63" s="12"/>
      <x:c r="D63" s="55"/>
      <x:c r="E63" s="12"/>
      <x:c r="F63" s="12"/>
      <x:c r="G63" s="12"/>
      <x:c r="H63" s="55"/>
      <x:c r="I63" s="12"/>
      <x:c r="J63" s="12"/>
      <x:c r="K63" s="12" t="str">
        <x:f>IF(OR(D63="",H63=""),"",IF(I63&lt;=J63,"Yes","No"))</x:f>
      </x:c>
      <x:c r="L63" s="12"/>
      <x:c r="M63" s="12"/>
      <x:c r="N63" s="12"/>
      <x:c r="O63" s="12"/>
      <x:c r="P63" s="12"/>
      <x:c r="Q63" s="12"/>
    </x:row>
    <x:row r="64">
      <x:c r="A64" s="12"/>
      <x:c r="B64" s="12"/>
      <x:c r="C64" s="12"/>
      <x:c r="D64" s="55"/>
      <x:c r="E64" s="12"/>
      <x:c r="F64" s="12"/>
      <x:c r="G64" s="12"/>
      <x:c r="H64" s="55"/>
      <x:c r="I64" s="12"/>
      <x:c r="J64" s="12"/>
      <x:c r="K64" s="12" t="str">
        <x:f>IF(OR(D64="",H64=""),"",IF(I64&lt;=J64,"Yes","No"))</x:f>
      </x:c>
      <x:c r="L64" s="12"/>
      <x:c r="M64" s="12"/>
      <x:c r="N64" s="12"/>
      <x:c r="O64" s="12"/>
      <x:c r="P64" s="12"/>
      <x:c r="Q64" s="12"/>
    </x:row>
    <x:row r="65">
      <x:c r="A65" s="12"/>
      <x:c r="B65" s="12"/>
      <x:c r="C65" s="12"/>
      <x:c r="D65" s="55"/>
      <x:c r="E65" s="12"/>
      <x:c r="F65" s="12"/>
      <x:c r="G65" s="12"/>
      <x:c r="H65" s="55"/>
      <x:c r="I65" s="12"/>
      <x:c r="J65" s="12"/>
      <x:c r="K65" s="12" t="str">
        <x:f>IF(OR(D65="",H65=""),"",IF(I65&lt;=J65,"Yes","No"))</x:f>
      </x:c>
      <x:c r="L65" s="12"/>
      <x:c r="M65" s="12"/>
      <x:c r="N65" s="12"/>
      <x:c r="O65" s="12"/>
      <x:c r="P65" s="12"/>
      <x:c r="Q65" s="12"/>
    </x:row>
    <x:row r="66">
      <x:c r="A66" s="12"/>
      <x:c r="B66" s="12"/>
      <x:c r="C66" s="12"/>
      <x:c r="D66" s="55"/>
      <x:c r="E66" s="12"/>
      <x:c r="F66" s="12"/>
      <x:c r="G66" s="12"/>
      <x:c r="H66" s="55"/>
      <x:c r="I66" s="12"/>
      <x:c r="J66" s="12"/>
      <x:c r="K66" s="12" t="str">
        <x:f>IF(OR(D66="",H66=""),"",IF(I66&lt;=J66,"Yes","No"))</x:f>
      </x:c>
      <x:c r="L66" s="12"/>
      <x:c r="M66" s="12"/>
      <x:c r="N66" s="12"/>
      <x:c r="O66" s="12"/>
      <x:c r="P66" s="12"/>
      <x:c r="Q66" s="12"/>
    </x:row>
    <x:row r="67">
      <x:c r="A67" s="12"/>
      <x:c r="B67" s="12"/>
      <x:c r="C67" s="12"/>
      <x:c r="D67" s="55"/>
      <x:c r="E67" s="12"/>
      <x:c r="F67" s="12"/>
      <x:c r="G67" s="12"/>
      <x:c r="H67" s="55"/>
      <x:c r="I67" s="12"/>
      <x:c r="J67" s="12"/>
      <x:c r="K67" s="12" t="str">
        <x:f>IF(OR(D67="",H67=""),"",IF(I67&lt;=J67,"Yes","No"))</x:f>
      </x:c>
      <x:c r="L67" s="12"/>
      <x:c r="M67" s="12"/>
      <x:c r="N67" s="12"/>
      <x:c r="O67" s="12"/>
      <x:c r="P67" s="12"/>
      <x:c r="Q67" s="12"/>
    </x:row>
    <x:row r="68">
      <x:c r="A68" s="12"/>
      <x:c r="B68" s="12"/>
      <x:c r="C68" s="12"/>
      <x:c r="D68" s="55"/>
      <x:c r="E68" s="12"/>
      <x:c r="F68" s="12"/>
      <x:c r="G68" s="12"/>
      <x:c r="H68" s="55"/>
      <x:c r="I68" s="12"/>
      <x:c r="J68" s="12"/>
      <x:c r="K68" s="12" t="str">
        <x:f>IF(OR(D68="",H68=""),"",IF(I68&lt;=J68,"Yes","No"))</x:f>
      </x:c>
      <x:c r="L68" s="12"/>
      <x:c r="M68" s="12"/>
      <x:c r="N68" s="12"/>
      <x:c r="O68" s="12"/>
      <x:c r="P68" s="12"/>
      <x:c r="Q68" s="12"/>
    </x:row>
    <x:row r="69">
      <x:c r="A69" s="12"/>
      <x:c r="B69" s="12"/>
      <x:c r="C69" s="12"/>
      <x:c r="D69" s="55"/>
      <x:c r="E69" s="12"/>
      <x:c r="F69" s="12"/>
      <x:c r="G69" s="12"/>
      <x:c r="H69" s="55"/>
      <x:c r="I69" s="12"/>
      <x:c r="J69" s="12"/>
      <x:c r="K69" s="12" t="str">
        <x:f>IF(OR(D69="",H69=""),"",IF(I69&lt;=J69,"Yes","No"))</x:f>
      </x:c>
      <x:c r="L69" s="12"/>
      <x:c r="M69" s="12"/>
      <x:c r="N69" s="12"/>
      <x:c r="O69" s="12"/>
      <x:c r="P69" s="12"/>
      <x:c r="Q69" s="12"/>
    </x:row>
    <x:row r="70">
      <x:c r="A70" s="12"/>
      <x:c r="B70" s="12"/>
      <x:c r="C70" s="12"/>
      <x:c r="D70" s="55"/>
      <x:c r="E70" s="12"/>
      <x:c r="F70" s="12"/>
      <x:c r="G70" s="12"/>
      <x:c r="H70" s="55"/>
      <x:c r="I70" s="12"/>
      <x:c r="J70" s="12"/>
      <x:c r="K70" s="12" t="str">
        <x:f>IF(OR(D70="",H70=""),"",IF(I70&lt;=J70,"Yes","No"))</x:f>
      </x:c>
      <x:c r="L70" s="12"/>
      <x:c r="M70" s="12"/>
      <x:c r="N70" s="12"/>
      <x:c r="O70" s="12"/>
      <x:c r="P70" s="12"/>
      <x:c r="Q70" s="12"/>
    </x:row>
    <x:row r="71">
      <x:c r="A71" s="12"/>
      <x:c r="B71" s="12"/>
      <x:c r="C71" s="12"/>
      <x:c r="D71" s="55"/>
      <x:c r="E71" s="12"/>
      <x:c r="F71" s="12"/>
      <x:c r="G71" s="12"/>
      <x:c r="H71" s="55"/>
      <x:c r="I71" s="12"/>
      <x:c r="J71" s="12"/>
      <x:c r="K71" s="12" t="str">
        <x:f>IF(OR(D71="",H71=""),"",IF(I71&lt;=J71,"Yes","No"))</x:f>
      </x:c>
      <x:c r="L71" s="12"/>
      <x:c r="M71" s="12"/>
      <x:c r="N71" s="12"/>
      <x:c r="O71" s="12"/>
      <x:c r="P71" s="12"/>
      <x:c r="Q71" s="12"/>
    </x:row>
    <x:row r="72">
      <x:c r="A72" s="12"/>
      <x:c r="B72" s="12"/>
      <x:c r="C72" s="12"/>
      <x:c r="D72" s="55"/>
      <x:c r="E72" s="12"/>
      <x:c r="F72" s="12"/>
      <x:c r="G72" s="12"/>
      <x:c r="H72" s="55"/>
      <x:c r="I72" s="12"/>
      <x:c r="J72" s="12"/>
      <x:c r="K72" s="12" t="str">
        <x:f>IF(OR(D72="",H72=""),"",IF(I72&lt;=J72,"Yes","No"))</x:f>
      </x:c>
      <x:c r="L72" s="12"/>
      <x:c r="M72" s="12"/>
      <x:c r="N72" s="12"/>
      <x:c r="O72" s="12"/>
      <x:c r="P72" s="12"/>
      <x:c r="Q72" s="12"/>
    </x:row>
    <x:row r="73">
      <x:c r="A73" s="12"/>
      <x:c r="B73" s="12"/>
      <x:c r="C73" s="12"/>
      <x:c r="D73" s="55"/>
      <x:c r="E73" s="12"/>
      <x:c r="F73" s="12"/>
      <x:c r="G73" s="12"/>
      <x:c r="H73" s="55"/>
      <x:c r="I73" s="12"/>
      <x:c r="J73" s="12"/>
      <x:c r="K73" s="12" t="str">
        <x:f>IF(OR(D73="",H73=""),"",IF(I73&lt;=J73,"Yes","No"))</x:f>
      </x:c>
      <x:c r="L73" s="12"/>
      <x:c r="M73" s="12"/>
      <x:c r="N73" s="12"/>
      <x:c r="O73" s="12"/>
      <x:c r="P73" s="12"/>
      <x:c r="Q73" s="12"/>
    </x:row>
    <x:row r="74">
      <x:c r="A74" s="12"/>
      <x:c r="B74" s="12"/>
      <x:c r="C74" s="12"/>
      <x:c r="D74" s="55"/>
      <x:c r="E74" s="12"/>
      <x:c r="F74" s="12"/>
      <x:c r="G74" s="12"/>
      <x:c r="H74" s="55"/>
      <x:c r="I74" s="12"/>
      <x:c r="J74" s="12"/>
      <x:c r="K74" s="12" t="str">
        <x:f>IF(OR(D74="",H74=""),"",IF(I74&lt;=J74,"Yes","No"))</x:f>
      </x:c>
      <x:c r="L74" s="12"/>
      <x:c r="M74" s="12"/>
      <x:c r="N74" s="12"/>
      <x:c r="O74" s="12"/>
      <x:c r="P74" s="12"/>
      <x:c r="Q74" s="12"/>
    </x:row>
    <x:row r="75">
      <x:c r="A75" s="12"/>
      <x:c r="B75" s="12"/>
      <x:c r="C75" s="12"/>
      <x:c r="D75" s="55"/>
      <x:c r="E75" s="12"/>
      <x:c r="F75" s="12"/>
      <x:c r="G75" s="12"/>
      <x:c r="H75" s="55"/>
      <x:c r="I75" s="12"/>
      <x:c r="J75" s="12"/>
      <x:c r="K75" s="12" t="str">
        <x:f>IF(OR(D75="",H75=""),"",IF(I75&lt;=J75,"Yes","No"))</x:f>
      </x:c>
      <x:c r="L75" s="12"/>
      <x:c r="M75" s="12"/>
      <x:c r="N75" s="12"/>
      <x:c r="O75" s="12"/>
      <x:c r="P75" s="12"/>
      <x:c r="Q75" s="12"/>
    </x:row>
    <x:row r="76">
      <x:c r="A76" s="12"/>
      <x:c r="B76" s="12"/>
      <x:c r="C76" s="12"/>
      <x:c r="D76" s="55"/>
      <x:c r="E76" s="12"/>
      <x:c r="F76" s="12"/>
      <x:c r="G76" s="12"/>
      <x:c r="H76" s="55"/>
      <x:c r="I76" s="12"/>
      <x:c r="J76" s="12"/>
      <x:c r="K76" s="12" t="str">
        <x:f>IF(OR(D76="",H76=""),"",IF(I76&lt;=J76,"Yes","No"))</x:f>
      </x:c>
      <x:c r="L76" s="12"/>
      <x:c r="M76" s="12"/>
      <x:c r="N76" s="12"/>
      <x:c r="O76" s="12"/>
      <x:c r="P76" s="12"/>
      <x:c r="Q76" s="12"/>
    </x:row>
    <x:row r="77">
      <x:c r="A77" s="12"/>
      <x:c r="B77" s="12"/>
      <x:c r="C77" s="12"/>
      <x:c r="D77" s="55"/>
      <x:c r="E77" s="12"/>
      <x:c r="F77" s="12"/>
      <x:c r="G77" s="12"/>
      <x:c r="H77" s="55"/>
      <x:c r="I77" s="12"/>
      <x:c r="J77" s="12"/>
      <x:c r="K77" s="12" t="str">
        <x:f>IF(OR(D77="",H77=""),"",IF(I77&lt;=J77,"Yes","No"))</x:f>
      </x:c>
      <x:c r="L77" s="12"/>
      <x:c r="M77" s="12"/>
      <x:c r="N77" s="12"/>
      <x:c r="O77" s="12"/>
      <x:c r="P77" s="12"/>
      <x:c r="Q77" s="12"/>
    </x:row>
    <x:row r="78">
      <x:c r="A78" s="12"/>
      <x:c r="B78" s="12"/>
      <x:c r="C78" s="12"/>
      <x:c r="D78" s="55"/>
      <x:c r="E78" s="12"/>
      <x:c r="F78" s="12"/>
      <x:c r="G78" s="12"/>
      <x:c r="H78" s="55"/>
      <x:c r="I78" s="12"/>
      <x:c r="J78" s="12"/>
      <x:c r="K78" s="12" t="str">
        <x:f>IF(OR(D78="",H78=""),"",IF(I78&lt;=J78,"Yes","No"))</x:f>
      </x:c>
      <x:c r="L78" s="12"/>
      <x:c r="M78" s="12"/>
      <x:c r="N78" s="12"/>
      <x:c r="O78" s="12"/>
      <x:c r="P78" s="12"/>
      <x:c r="Q78" s="12"/>
    </x:row>
    <x:row r="79">
      <x:c r="A79" s="12"/>
      <x:c r="B79" s="12"/>
      <x:c r="C79" s="12"/>
      <x:c r="D79" s="55"/>
      <x:c r="E79" s="12"/>
      <x:c r="F79" s="12"/>
      <x:c r="G79" s="12"/>
      <x:c r="H79" s="55"/>
      <x:c r="I79" s="12"/>
      <x:c r="J79" s="12"/>
      <x:c r="K79" s="12" t="str">
        <x:f>IF(OR(D79="",H79=""),"",IF(I79&lt;=J79,"Yes","No"))</x:f>
      </x:c>
      <x:c r="L79" s="12"/>
      <x:c r="M79" s="12"/>
      <x:c r="N79" s="12"/>
      <x:c r="O79" s="12"/>
      <x:c r="P79" s="12"/>
      <x:c r="Q79" s="12"/>
    </x:row>
    <x:row r="80">
      <x:c r="A80" s="12"/>
      <x:c r="B80" s="12"/>
      <x:c r="C80" s="12"/>
      <x:c r="D80" s="55"/>
      <x:c r="E80" s="12"/>
      <x:c r="F80" s="12"/>
      <x:c r="G80" s="12"/>
      <x:c r="H80" s="55"/>
      <x:c r="I80" s="12"/>
      <x:c r="J80" s="12"/>
      <x:c r="K80" s="12" t="str">
        <x:f>IF(OR(D80="",H80=""),"",IF(I80&lt;=J80,"Yes","No"))</x:f>
      </x:c>
      <x:c r="L80" s="12"/>
      <x:c r="M80" s="12"/>
      <x:c r="N80" s="12"/>
      <x:c r="O80" s="12"/>
      <x:c r="P80" s="12"/>
      <x:c r="Q80" s="12"/>
    </x:row>
    <x:row r="81">
      <x:c r="A81" s="12"/>
      <x:c r="B81" s="12"/>
      <x:c r="C81" s="12"/>
      <x:c r="D81" s="55"/>
      <x:c r="E81" s="12"/>
      <x:c r="F81" s="12"/>
      <x:c r="G81" s="12"/>
      <x:c r="H81" s="55"/>
      <x:c r="I81" s="12"/>
      <x:c r="J81" s="12"/>
      <x:c r="K81" s="12" t="str">
        <x:f>IF(OR(D81="",H81=""),"",IF(I81&lt;=J81,"Yes","No"))</x:f>
      </x:c>
      <x:c r="L81" s="12"/>
      <x:c r="M81" s="12"/>
      <x:c r="N81" s="12"/>
      <x:c r="O81" s="12"/>
      <x:c r="P81" s="12"/>
      <x:c r="Q81" s="12"/>
    </x:row>
    <x:row r="82">
      <x:c r="A82" s="12"/>
      <x:c r="B82" s="12"/>
      <x:c r="C82" s="12"/>
      <x:c r="D82" s="55"/>
      <x:c r="E82" s="12"/>
      <x:c r="F82" s="12"/>
      <x:c r="G82" s="12"/>
      <x:c r="H82" s="55"/>
      <x:c r="I82" s="12"/>
      <x:c r="J82" s="12"/>
      <x:c r="K82" s="12" t="str">
        <x:f>IF(OR(D82="",H82=""),"",IF(I82&lt;=J82,"Yes","No"))</x:f>
      </x:c>
      <x:c r="L82" s="12"/>
      <x:c r="M82" s="12"/>
      <x:c r="N82" s="12"/>
      <x:c r="O82" s="12"/>
      <x:c r="P82" s="12"/>
      <x:c r="Q82" s="12"/>
    </x:row>
    <x:row r="83">
      <x:c r="A83" s="12"/>
      <x:c r="B83" s="12"/>
      <x:c r="C83" s="12"/>
      <x:c r="D83" s="55"/>
      <x:c r="E83" s="12"/>
      <x:c r="F83" s="12"/>
      <x:c r="G83" s="12"/>
      <x:c r="H83" s="55"/>
      <x:c r="I83" s="12"/>
      <x:c r="J83" s="12"/>
      <x:c r="K83" s="12" t="str">
        <x:f>IF(OR(D83="",H83=""),"",IF(I83&lt;=J83,"Yes","No"))</x:f>
      </x:c>
      <x:c r="L83" s="12"/>
      <x:c r="M83" s="12"/>
      <x:c r="N83" s="12"/>
      <x:c r="O83" s="12"/>
      <x:c r="P83" s="12"/>
      <x:c r="Q83" s="12"/>
    </x:row>
    <x:row r="84">
      <x:c r="A84" s="12"/>
      <x:c r="B84" s="12"/>
      <x:c r="C84" s="12"/>
      <x:c r="D84" s="55"/>
      <x:c r="E84" s="12"/>
      <x:c r="F84" s="12"/>
      <x:c r="G84" s="12"/>
      <x:c r="H84" s="55"/>
      <x:c r="I84" s="12"/>
      <x:c r="J84" s="12"/>
      <x:c r="K84" s="12" t="str">
        <x:f>IF(OR(D84="",H84=""),"",IF(I84&lt;=J84,"Yes","No"))</x:f>
      </x:c>
      <x:c r="L84" s="12"/>
      <x:c r="M84" s="12"/>
      <x:c r="N84" s="12"/>
      <x:c r="O84" s="12"/>
      <x:c r="P84" s="12"/>
      <x:c r="Q84" s="12"/>
    </x:row>
    <x:row r="85">
      <x:c r="A85" s="12"/>
      <x:c r="B85" s="12"/>
      <x:c r="C85" s="12"/>
      <x:c r="D85" s="55"/>
      <x:c r="E85" s="12"/>
      <x:c r="F85" s="12"/>
      <x:c r="G85" s="12"/>
      <x:c r="H85" s="55"/>
      <x:c r="I85" s="12"/>
      <x:c r="J85" s="12"/>
      <x:c r="K85" s="12" t="str">
        <x:f>IF(OR(D85="",H85=""),"",IF(I85&lt;=J85,"Yes","No"))</x:f>
      </x:c>
      <x:c r="L85" s="12"/>
      <x:c r="M85" s="12"/>
      <x:c r="N85" s="12"/>
      <x:c r="O85" s="12"/>
      <x:c r="P85" s="12"/>
      <x:c r="Q85" s="12"/>
    </x:row>
    <x:row r="86">
      <x:c r="A86" s="12"/>
      <x:c r="B86" s="12"/>
      <x:c r="C86" s="12"/>
      <x:c r="D86" s="55"/>
      <x:c r="E86" s="12"/>
      <x:c r="F86" s="12"/>
      <x:c r="G86" s="12"/>
      <x:c r="H86" s="55"/>
      <x:c r="I86" s="12"/>
      <x:c r="J86" s="12"/>
      <x:c r="K86" s="12" t="str">
        <x:f>IF(OR(D86="",H86=""),"",IF(I86&lt;=J86,"Yes","No"))</x:f>
      </x:c>
      <x:c r="L86" s="12"/>
      <x:c r="M86" s="12"/>
      <x:c r="N86" s="12"/>
      <x:c r="O86" s="12"/>
      <x:c r="P86" s="12"/>
      <x:c r="Q86" s="12"/>
    </x:row>
    <x:row r="87">
      <x:c r="A87" s="12"/>
      <x:c r="B87" s="12"/>
      <x:c r="C87" s="12"/>
      <x:c r="D87" s="55"/>
      <x:c r="E87" s="12"/>
      <x:c r="F87" s="12"/>
      <x:c r="G87" s="12"/>
      <x:c r="H87" s="55"/>
      <x:c r="I87" s="12"/>
      <x:c r="J87" s="12"/>
      <x:c r="K87" s="12" t="str">
        <x:f>IF(OR(D87="",H87=""),"",IF(I87&lt;=J87,"Yes","No"))</x:f>
      </x:c>
      <x:c r="L87" s="12"/>
      <x:c r="M87" s="12"/>
      <x:c r="N87" s="12"/>
      <x:c r="O87" s="12"/>
      <x:c r="P87" s="12"/>
      <x:c r="Q87" s="12"/>
    </x:row>
    <x:row r="88">
      <x:c r="A88" s="12"/>
      <x:c r="B88" s="12"/>
      <x:c r="C88" s="12"/>
      <x:c r="D88" s="55"/>
      <x:c r="E88" s="12"/>
      <x:c r="F88" s="12"/>
      <x:c r="G88" s="12"/>
      <x:c r="H88" s="55"/>
      <x:c r="I88" s="12"/>
      <x:c r="J88" s="12"/>
      <x:c r="K88" s="12" t="str">
        <x:f>IF(OR(D88="",H88=""),"",IF(I88&lt;=J88,"Yes","No"))</x:f>
      </x:c>
      <x:c r="L88" s="12"/>
      <x:c r="M88" s="12"/>
      <x:c r="N88" s="12"/>
      <x:c r="O88" s="12"/>
      <x:c r="P88" s="12"/>
      <x:c r="Q88" s="12"/>
    </x:row>
    <x:row r="89">
      <x:c r="A89" s="12"/>
      <x:c r="B89" s="12"/>
      <x:c r="C89" s="12"/>
      <x:c r="D89" s="55"/>
      <x:c r="E89" s="12"/>
      <x:c r="F89" s="12"/>
      <x:c r="G89" s="12"/>
      <x:c r="H89" s="55"/>
      <x:c r="I89" s="12"/>
      <x:c r="J89" s="12"/>
      <x:c r="K89" s="12" t="str">
        <x:f>IF(OR(D89="",H89=""),"",IF(I89&lt;=J89,"Yes","No"))</x:f>
      </x:c>
      <x:c r="L89" s="12"/>
      <x:c r="M89" s="12"/>
      <x:c r="N89" s="12"/>
      <x:c r="O89" s="12"/>
      <x:c r="P89" s="12"/>
      <x:c r="Q89" s="12"/>
    </x:row>
    <x:row r="90">
      <x:c r="A90" s="12"/>
      <x:c r="B90" s="12"/>
      <x:c r="C90" s="12"/>
      <x:c r="D90" s="55"/>
      <x:c r="E90" s="12"/>
      <x:c r="F90" s="12"/>
      <x:c r="G90" s="12"/>
      <x:c r="H90" s="55"/>
      <x:c r="I90" s="12"/>
      <x:c r="J90" s="12"/>
      <x:c r="K90" s="12" t="str">
        <x:f>IF(OR(D90="",H90=""),"",IF(I90&lt;=J90,"Yes","No"))</x:f>
      </x:c>
      <x:c r="L90" s="12"/>
      <x:c r="M90" s="12"/>
      <x:c r="N90" s="12"/>
      <x:c r="O90" s="12"/>
      <x:c r="P90" s="12"/>
      <x:c r="Q90" s="12"/>
    </x:row>
    <x:row r="91">
      <x:c r="A91" s="12"/>
      <x:c r="B91" s="12"/>
      <x:c r="C91" s="12"/>
      <x:c r="D91" s="55"/>
      <x:c r="E91" s="12"/>
      <x:c r="F91" s="12"/>
      <x:c r="G91" s="12"/>
      <x:c r="H91" s="55"/>
      <x:c r="I91" s="12"/>
      <x:c r="J91" s="12"/>
      <x:c r="K91" s="12" t="str">
        <x:f>IF(OR(D91="",H91=""),"",IF(I91&lt;=J91,"Yes","No"))</x:f>
      </x:c>
      <x:c r="L91" s="12"/>
      <x:c r="M91" s="12"/>
      <x:c r="N91" s="12"/>
      <x:c r="O91" s="12"/>
      <x:c r="P91" s="12"/>
      <x:c r="Q91" s="12"/>
    </x:row>
    <x:row r="92">
      <x:c r="A92" s="12"/>
      <x:c r="B92" s="12"/>
      <x:c r="C92" s="12"/>
      <x:c r="D92" s="55"/>
      <x:c r="E92" s="12"/>
      <x:c r="F92" s="12"/>
      <x:c r="G92" s="12"/>
      <x:c r="H92" s="55"/>
      <x:c r="I92" s="12"/>
      <x:c r="J92" s="12"/>
      <x:c r="K92" s="12" t="str">
        <x:f>IF(OR(D92="",H92=""),"",IF(I92&lt;=J92,"Yes","No"))</x:f>
      </x:c>
      <x:c r="L92" s="12"/>
      <x:c r="M92" s="12"/>
      <x:c r="N92" s="12"/>
      <x:c r="O92" s="12"/>
      <x:c r="P92" s="12"/>
      <x:c r="Q92" s="12"/>
    </x:row>
    <x:row r="93">
      <x:c r="A93" s="12"/>
      <x:c r="B93" s="12"/>
      <x:c r="C93" s="12"/>
      <x:c r="D93" s="55"/>
      <x:c r="E93" s="12"/>
      <x:c r="F93" s="12"/>
      <x:c r="G93" s="12"/>
      <x:c r="H93" s="55"/>
      <x:c r="I93" s="12"/>
      <x:c r="J93" s="12"/>
      <x:c r="K93" s="12" t="str">
        <x:f>IF(OR(D93="",H93=""),"",IF(I93&lt;=J93,"Yes","No"))</x:f>
      </x:c>
      <x:c r="L93" s="12"/>
      <x:c r="M93" s="12"/>
      <x:c r="N93" s="12"/>
      <x:c r="O93" s="12"/>
      <x:c r="P93" s="12"/>
      <x:c r="Q93" s="12"/>
    </x:row>
    <x:row r="94">
      <x:c r="A94" s="12"/>
      <x:c r="B94" s="12"/>
      <x:c r="C94" s="12"/>
      <x:c r="D94" s="55"/>
      <x:c r="E94" s="12"/>
      <x:c r="F94" s="12"/>
      <x:c r="G94" s="12"/>
      <x:c r="H94" s="55"/>
      <x:c r="I94" s="12"/>
      <x:c r="J94" s="12"/>
      <x:c r="K94" s="12" t="str">
        <x:f>IF(OR(D94="",H94=""),"",IF(I94&lt;=J94,"Yes","No"))</x:f>
      </x:c>
      <x:c r="L94" s="12"/>
      <x:c r="M94" s="12"/>
      <x:c r="N94" s="12"/>
      <x:c r="O94" s="12"/>
      <x:c r="P94" s="12"/>
      <x:c r="Q94" s="12"/>
    </x:row>
    <x:row r="95">
      <x:c r="A95" s="12"/>
      <x:c r="B95" s="12"/>
      <x:c r="C95" s="12"/>
      <x:c r="D95" s="55"/>
      <x:c r="E95" s="12"/>
      <x:c r="F95" s="12"/>
      <x:c r="G95" s="12"/>
      <x:c r="H95" s="55"/>
      <x:c r="I95" s="12"/>
      <x:c r="J95" s="12"/>
      <x:c r="K95" s="12" t="str">
        <x:f>IF(OR(D95="",H95=""),"",IF(I95&lt;=J95,"Yes","No"))</x:f>
      </x:c>
      <x:c r="L95" s="12"/>
      <x:c r="M95" s="12"/>
      <x:c r="N95" s="12"/>
      <x:c r="O95" s="12"/>
      <x:c r="P95" s="12"/>
      <x:c r="Q95" s="12"/>
    </x:row>
    <x:row r="96">
      <x:c r="A96" s="12"/>
      <x:c r="B96" s="12"/>
      <x:c r="C96" s="12"/>
      <x:c r="D96" s="55"/>
      <x:c r="E96" s="12"/>
      <x:c r="F96" s="12"/>
      <x:c r="G96" s="12"/>
      <x:c r="H96" s="55"/>
      <x:c r="I96" s="12"/>
      <x:c r="J96" s="12"/>
      <x:c r="K96" s="12" t="str">
        <x:f>IF(OR(D96="",H96=""),"",IF(I96&lt;=J96,"Yes","No"))</x:f>
      </x:c>
      <x:c r="L96" s="12"/>
      <x:c r="M96" s="12"/>
      <x:c r="N96" s="12"/>
      <x:c r="O96" s="12"/>
      <x:c r="P96" s="12"/>
      <x:c r="Q96" s="12"/>
    </x:row>
    <x:row r="97">
      <x:c r="A97" s="12"/>
      <x:c r="B97" s="12"/>
      <x:c r="C97" s="12"/>
      <x:c r="D97" s="55"/>
      <x:c r="E97" s="12"/>
      <x:c r="F97" s="12"/>
      <x:c r="G97" s="12"/>
      <x:c r="H97" s="55"/>
      <x:c r="I97" s="12"/>
      <x:c r="J97" s="12"/>
      <x:c r="K97" s="12" t="str">
        <x:f>IF(OR(D97="",H97=""),"",IF(I97&lt;=J97,"Yes","No"))</x:f>
      </x:c>
      <x:c r="L97" s="12"/>
      <x:c r="M97" s="12"/>
      <x:c r="N97" s="12"/>
      <x:c r="O97" s="12"/>
      <x:c r="P97" s="12"/>
      <x:c r="Q97" s="12"/>
    </x:row>
    <x:row r="98">
      <x:c r="A98" s="12"/>
      <x:c r="B98" s="12"/>
      <x:c r="C98" s="12"/>
      <x:c r="D98" s="55"/>
      <x:c r="E98" s="12"/>
      <x:c r="F98" s="12"/>
      <x:c r="G98" s="12"/>
      <x:c r="H98" s="55"/>
      <x:c r="I98" s="12"/>
      <x:c r="J98" s="12"/>
      <x:c r="K98" s="12" t="str">
        <x:f>IF(OR(D98="",H98=""),"",IF(I98&lt;=J98,"Yes","No"))</x:f>
      </x:c>
      <x:c r="L98" s="12"/>
      <x:c r="M98" s="12"/>
      <x:c r="N98" s="12"/>
      <x:c r="O98" s="12"/>
      <x:c r="P98" s="12"/>
      <x:c r="Q98" s="12"/>
    </x:row>
    <x:row r="99">
      <x:c r="A99" s="12"/>
      <x:c r="B99" s="12"/>
      <x:c r="C99" s="12"/>
      <x:c r="D99" s="55"/>
      <x:c r="E99" s="12"/>
      <x:c r="F99" s="12"/>
      <x:c r="G99" s="12"/>
      <x:c r="H99" s="55"/>
      <x:c r="I99" s="12"/>
      <x:c r="J99" s="12"/>
      <x:c r="K99" s="12" t="str">
        <x:f>IF(OR(D99="",H99=""),"",IF(I99&lt;=J99,"Yes","No"))</x:f>
      </x:c>
      <x:c r="L99" s="12"/>
      <x:c r="M99" s="12"/>
      <x:c r="N99" s="12"/>
      <x:c r="O99" s="12"/>
      <x:c r="P99" s="12"/>
      <x:c r="Q99" s="12"/>
    </x:row>
    <x:row r="100">
      <x:c r="A100" s="12"/>
      <x:c r="B100" s="12"/>
      <x:c r="C100" s="12"/>
      <x:c r="D100" s="55"/>
      <x:c r="E100" s="12"/>
      <x:c r="F100" s="12"/>
      <x:c r="G100" s="12"/>
      <x:c r="H100" s="55"/>
      <x:c r="I100" s="12"/>
      <x:c r="J100" s="12"/>
      <x:c r="K100" s="12" t="str">
        <x:f>IF(OR(D100="",H100=""),"",IF(I100&lt;=J100,"Yes","No"))</x:f>
      </x:c>
      <x:c r="L100" s="12"/>
      <x:c r="M100" s="12"/>
      <x:c r="N100" s="12"/>
      <x:c r="O100" s="12"/>
      <x:c r="P100" s="12"/>
      <x:c r="Q100" s="12"/>
    </x:row>
    <x:row r="101">
      <x:c r="A101" s="12"/>
      <x:c r="B101" s="12"/>
      <x:c r="C101" s="12"/>
      <x:c r="D101" s="55"/>
      <x:c r="E101" s="12"/>
      <x:c r="F101" s="12"/>
      <x:c r="G101" s="12"/>
      <x:c r="H101" s="55"/>
      <x:c r="I101" s="12"/>
      <x:c r="J101" s="12"/>
      <x:c r="K101" s="12" t="str">
        <x:f>IF(OR(D101="",H101=""),"",IF(I101&lt;=J101,"Yes","No"))</x:f>
      </x:c>
      <x:c r="L101" s="12"/>
      <x:c r="M101" s="12"/>
      <x:c r="N101" s="12"/>
      <x:c r="O101" s="12"/>
      <x:c r="P101" s="12"/>
      <x:c r="Q101" s="12"/>
    </x:row>
    <x:row r="102">
      <x:c r="A102" s="12"/>
      <x:c r="B102" s="12"/>
      <x:c r="C102" s="12"/>
      <x:c r="D102" s="55"/>
      <x:c r="E102" s="12"/>
      <x:c r="F102" s="12"/>
      <x:c r="G102" s="12"/>
      <x:c r="H102" s="55"/>
      <x:c r="I102" s="12"/>
      <x:c r="J102" s="12"/>
      <x:c r="K102" s="12" t="str">
        <x:f>IF(OR(D102="",H102=""),"",IF(I102&lt;=J102,"Yes","No"))</x:f>
      </x:c>
      <x:c r="L102" s="12"/>
      <x:c r="M102" s="12"/>
      <x:c r="N102" s="12"/>
      <x:c r="O102" s="12"/>
      <x:c r="P102" s="12"/>
      <x:c r="Q102" s="12"/>
    </x:row>
    <x:row r="103">
      <x:c r="A103" s="12"/>
      <x:c r="B103" s="12"/>
      <x:c r="C103" s="12"/>
      <x:c r="D103" s="55"/>
      <x:c r="E103" s="12"/>
      <x:c r="F103" s="12"/>
      <x:c r="G103" s="12"/>
      <x:c r="H103" s="55"/>
      <x:c r="I103" s="12"/>
      <x:c r="J103" s="12"/>
      <x:c r="K103" s="12" t="str">
        <x:f>IF(OR(D103="",H103=""),"",IF(I103&lt;=J103,"Yes","No"))</x:f>
      </x:c>
      <x:c r="L103" s="12"/>
      <x:c r="M103" s="12"/>
      <x:c r="N103" s="12"/>
      <x:c r="O103" s="12"/>
      <x:c r="P103" s="12"/>
      <x:c r="Q103" s="12"/>
    </x:row>
    <x:row r="104">
      <x:c r="A104" s="12"/>
      <x:c r="B104" s="12"/>
      <x:c r="C104" s="12"/>
      <x:c r="D104" s="55"/>
      <x:c r="E104" s="12"/>
      <x:c r="F104" s="12"/>
      <x:c r="G104" s="12"/>
      <x:c r="H104" s="55"/>
      <x:c r="I104" s="12"/>
      <x:c r="J104" s="12"/>
      <x:c r="K104" s="12" t="str">
        <x:f>IF(OR(D104="",H104=""),"",IF(I104&lt;=J104,"Yes","No"))</x:f>
      </x:c>
      <x:c r="L104" s="12"/>
      <x:c r="M104" s="12"/>
      <x:c r="N104" s="12"/>
      <x:c r="O104" s="12"/>
      <x:c r="P104" s="12"/>
      <x:c r="Q104" s="12"/>
    </x:row>
  </x:sheetData>
  <x:mergeCells>
    <x:mergeCell ref="A1:Q1"/>
    <x:mergeCell ref="A2:Q2"/>
  </x:mergeCells>
  <x:dataValidations count="4">
    <x:dataValidation type="list" sqref="G5:G104">
      <x:formula1>"Pending,Approved,Approved with Conditions,Rejected,Deferred,Suspended,Closed"</x:formula1>
    </x:dataValidation>
    <x:dataValidation type="list" sqref="L5:L104">
      <x:formula1>"No,Yes"</x:formula1>
    </x:dataValidation>
    <x:dataValidation type="list" sqref="M5:M104">
      <x:formula1>"Missing,Partial,Complete,Verified"</x:formula1>
    </x:dataValidation>
    <x:dataValidation type="list" sqref="P5:P104">
      <x:formula1>"Open,In Progress,Blocked,Closed"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17" hidden="0" customWidth="1"/>
    <x:col min="4" max="4" width="44" hidden="0" customWidth="1"/>
    <x:col min="5" max="5" width="24" hidden="0" customWidth="1"/>
    <x:col min="6" max="6" width="15" hidden="0" customWidth="1"/>
    <x:col min="7" max="7" width="20" hidden="0" customWidth="1"/>
    <x:col min="8" max="8" width="15" hidden="0" customWidth="1"/>
    <x:col min="9" max="9" width="24" hidden="0" customWidth="1"/>
    <x:col min="10" max="10" width="32" hidden="0" customWidth="1"/>
    <x:col min="11" max="11" width="48" hidden="0" customWidth="1"/>
    <x:col min="12" max="12" width="31" hidden="0" customWidth="1"/>
    <x:col min="13" max="13" width="18" hidden="0" customWidth="1"/>
    <x:col min="14" max="14" width="14" hidden="0" customWidth="1"/>
  </x:cols>
  <x:sheetData>
    <x:row r="1" ht="32" customHeight="1">
      <x:c r="A1" s="3" t="str">
        <x:v>RACI Governance Metric Catalogue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 ht="28" customHeight="1">
      <x:c r="A2" s="48" t="str">
        <x:v>Definitions, formulas, targets, thresholds, ownership, interpretation and management response.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29" customHeight="1">
      <x:c r="A4" s="49" t="str">
        <x:v>Metric ID</x:v>
      </x:c>
      <x:c r="B4" s="49" t="str">
        <x:v>Metric</x:v>
      </x:c>
      <x:c r="C4" s="49" t="str">
        <x:v>Type</x:v>
      </x:c>
      <x:c r="D4" s="49" t="str">
        <x:v>Definition / formula</x:v>
      </x:c>
      <x:c r="E4" s="49" t="str">
        <x:v>Source</x:v>
      </x:c>
      <x:c r="F4" s="49" t="str">
        <x:v>Target</x:v>
      </x:c>
      <x:c r="G4" s="49" t="str">
        <x:v>Amber / red threshold</x:v>
      </x:c>
      <x:c r="H4" s="49" t="str">
        <x:v>Cadence</x:v>
      </x:c>
      <x:c r="I4" s="49" t="str">
        <x:v>Metric owner</x:v>
      </x:c>
      <x:c r="J4" s="49" t="str">
        <x:v>What it reveals</x:v>
      </x:c>
      <x:c r="K4" s="49" t="str">
        <x:v>Required management response</x:v>
      </x:c>
      <x:c r="L4" s="49" t="str">
        <x:v>Portal model reference</x:v>
      </x:c>
      <x:c r="M4" s="49" t="str">
        <x:v>Scope</x:v>
      </x:c>
      <x:c r="N4" s="49" t="str">
        <x:v>Status</x:v>
      </x:c>
    </x:row>
    <x:row r="5">
      <x:c r="A5" s="19" t="str">
        <x:v>RACI-01</x:v>
      </x:c>
      <x:c r="B5" s="19" t="str">
        <x:v>Single-accountable-owner compliance</x:v>
      </x:c>
      <x:c r="C5" s="19" t="str">
        <x:v>Control KPI</x:v>
      </x:c>
      <x:c r="D5" s="19" t="str">
        <x:v>Decisions with exactly one A / active decisions</x:v>
      </x:c>
      <x:c r="E5" s="19" t="str">
        <x:v>Decision RACI</x:v>
      </x:c>
      <x:c r="F5" s="19" t="str">
        <x:v>&gt;= 98%</x:v>
      </x:c>
      <x:c r="G5" s="19" t="str">
        <x:v>&lt; 95%</x:v>
      </x:c>
      <x:c r="H5" s="19" t="str">
        <x:v>Monthly</x:v>
      </x:c>
      <x:c r="I5" s="19" t="str">
        <x:v>AI Governance Lead</x:v>
      </x:c>
      <x:c r="J5" s="19" t="str">
        <x:v>Governance design clarity</x:v>
      </x:c>
      <x:c r="K5" s="19" t="str">
        <x:v>Repair decisions with missing or multiple A; obtain Steering Committee approval.</x:v>
      </x:c>
      <x:c r="L5" s="19" t="str">
        <x:v>Governance, Compliance &amp; Oversight</x:v>
      </x:c>
      <x:c r="M5" s="19" t="str">
        <x:v>Enterprise</x:v>
      </x:c>
      <x:c r="N5" s="19" t="str">
        <x:v>Active</x:v>
      </x:c>
    </x:row>
    <x:row r="6">
      <x:c r="A6" s="20" t="str">
        <x:v>RACI-02</x:v>
      </x:c>
      <x:c r="B6" s="20" t="str">
        <x:v>Responsible-role coverage</x:v>
      </x:c>
      <x:c r="C6" s="20" t="str">
        <x:v>Control KPI</x:v>
      </x:c>
      <x:c r="D6" s="20" t="str">
        <x:v>Decisions with one or more R / active decisions</x:v>
      </x:c>
      <x:c r="E6" s="20" t="str">
        <x:v>Decision RACI</x:v>
      </x:c>
      <x:c r="F6" s="20" t="str">
        <x:v>&gt;= 98%</x:v>
      </x:c>
      <x:c r="G6" s="20" t="str">
        <x:v>&lt; 95%</x:v>
      </x:c>
      <x:c r="H6" s="20" t="str">
        <x:v>Monthly</x:v>
      </x:c>
      <x:c r="I6" s="20" t="str">
        <x:v>AI Governance Lead</x:v>
      </x:c>
      <x:c r="J6" s="20" t="str">
        <x:v>Execution ownership</x:v>
      </x:c>
      <x:c r="K6" s="20" t="str">
        <x:v>Assign at least one capable R and verify capacity.</x:v>
      </x:c>
      <x:c r="L6" s="20" t="str">
        <x:v>Governance, Compliance &amp; Oversight</x:v>
      </x:c>
      <x:c r="M6" s="20" t="str">
        <x:v>Enterprise</x:v>
      </x:c>
      <x:c r="N6" s="20" t="str">
        <x:v>Active</x:v>
      </x:c>
    </x:row>
    <x:row r="7">
      <x:c r="A7" s="20" t="str">
        <x:v>RACI-03</x:v>
      </x:c>
      <x:c r="B7" s="20" t="str">
        <x:v>Lifecycle accountability coverage</x:v>
      </x:c>
      <x:c r="C7" s="20" t="str">
        <x:v>Control KPI</x:v>
      </x:c>
      <x:c r="D7" s="20" t="str">
        <x:v>Lifecycle activities with one A / active lifecycle activities</x:v>
      </x:c>
      <x:c r="E7" s="20" t="str">
        <x:v>Lifecycle RACI</x:v>
      </x:c>
      <x:c r="F7" s="20" t="str">
        <x:v>100%</x:v>
      </x:c>
      <x:c r="G7" s="20" t="str">
        <x:v>&lt; 98%</x:v>
      </x:c>
      <x:c r="H7" s="20" t="str">
        <x:v>Monthly</x:v>
      </x:c>
      <x:c r="I7" s="20" t="str">
        <x:v>Lifecycle Governance Owner</x:v>
      </x:c>
      <x:c r="J7" s="20" t="str">
        <x:v>End-to-end accountability</x:v>
      </x:c>
      <x:c r="K7" s="20" t="str">
        <x:v>Resolve gaps before the affected lifecycle gate is used.</x:v>
      </x:c>
      <x:c r="L7" s="20" t="str">
        <x:v>Agentic AI Governance Framework</x:v>
      </x:c>
      <x:c r="M7" s="20" t="str">
        <x:v>Lifecycle</x:v>
      </x:c>
      <x:c r="N7" s="20" t="str">
        <x:v>Active</x:v>
      </x:c>
    </x:row>
    <x:row r="8">
      <x:c r="A8" s="20" t="str">
        <x:v>RACI-04</x:v>
      </x:c>
      <x:c r="B8" s="20" t="str">
        <x:v>Decision SLA attainment</x:v>
      </x:c>
      <x:c r="C8" s="20" t="str">
        <x:v>Performance KPI</x:v>
      </x:c>
      <x:c r="D8" s="20" t="str">
        <x:v>Completed decisions within SLA / completed decisions</x:v>
      </x:c>
      <x:c r="E8" s="20" t="str">
        <x:v>Decision Log</x:v>
      </x:c>
      <x:c r="F8" s="20" t="str">
        <x:v>&gt;= 90%</x:v>
      </x:c>
      <x:c r="G8" s="20" t="str">
        <x:v>&lt; 80%</x:v>
      </x:c>
      <x:c r="H8" s="20" t="str">
        <x:v>Monthly</x:v>
      </x:c>
      <x:c r="I8" s="20" t="str">
        <x:v>Committee Secretary</x:v>
      </x:c>
      <x:c r="J8" s="20" t="str">
        <x:v>Governance responsiveness</x:v>
      </x:c>
      <x:c r="K8" s="20" t="str">
        <x:v>Analyze bottlenecks, missing evidence and quorum delays.</x:v>
      </x:c>
      <x:c r="L8" s="20" t="str">
        <x:v>AI Governance</x:v>
      </x:c>
      <x:c r="M8" s="20" t="str">
        <x:v>Operations</x:v>
      </x:c>
      <x:c r="N8" s="20" t="str">
        <x:v>Active</x:v>
      </x:c>
    </x:row>
    <x:row r="9">
      <x:c r="A9" s="20" t="str">
        <x:v>RACI-05</x:v>
      </x:c>
      <x:c r="B9" s="20" t="str">
        <x:v>Escalation rate</x:v>
      </x:c>
      <x:c r="C9" s="20" t="str">
        <x:v>Risk indicator</x:v>
      </x:c>
      <x:c r="D9" s="20" t="str">
        <x:v>Escalated decision events / completed decision events</x:v>
      </x:c>
      <x:c r="E9" s="20" t="str">
        <x:v>Decision Log</x:v>
      </x:c>
      <x:c r="F9" s="20" t="str">
        <x:v>&lt;= 15%</x:v>
      </x:c>
      <x:c r="G9" s="20" t="str">
        <x:v>&gt; 25%</x:v>
      </x:c>
      <x:c r="H9" s="20" t="str">
        <x:v>Monthly</x:v>
      </x:c>
      <x:c r="I9" s="20" t="str">
        <x:v>AI Governance Lead</x:v>
      </x:c>
      <x:c r="J9" s="20" t="str">
        <x:v>Ambiguity or unresolved conflict</x:v>
      </x:c>
      <x:c r="K9" s="20" t="str">
        <x:v>Review decision rights and repeat escalation causes.</x:v>
      </x:c>
      <x:c r="L9" s="20" t="str">
        <x:v>AI Governance</x:v>
      </x:c>
      <x:c r="M9" s="20" t="str">
        <x:v>Operations</x:v>
      </x:c>
      <x:c r="N9" s="20" t="str">
        <x:v>Active</x:v>
      </x:c>
    </x:row>
    <x:row r="10">
      <x:c r="A10" s="20" t="str">
        <x:v>RACI-06</x:v>
      </x:c>
      <x:c r="B10" s="20" t="str">
        <x:v>Evidence completeness</x:v>
      </x:c>
      <x:c r="C10" s="20" t="str">
        <x:v>Control KPI</x:v>
      </x:c>
      <x:c r="D10" s="20" t="str">
        <x:v>Completed decisions with Complete or Verified evidence / completed decisions</x:v>
      </x:c>
      <x:c r="E10" s="20" t="str">
        <x:v>Decision Log</x:v>
      </x:c>
      <x:c r="F10" s="20" t="str">
        <x:v>&gt;= 95%</x:v>
      </x:c>
      <x:c r="G10" s="20" t="str">
        <x:v>&lt; 90%</x:v>
      </x:c>
      <x:c r="H10" s="20" t="str">
        <x:v>Monthly</x:v>
      </x:c>
      <x:c r="I10" s="20" t="str">
        <x:v>Governance Evidence Owner</x:v>
      </x:c>
      <x:c r="J10" s="20" t="str">
        <x:v>Auditability</x:v>
      </x:c>
      <x:c r="K10" s="20" t="str">
        <x:v>Block closure until evidence is complete or exception approved.</x:v>
      </x:c>
      <x:c r="L10" s="20" t="str">
        <x:v>Assurance</x:v>
      </x:c>
      <x:c r="M10" s="20" t="str">
        <x:v>Evidence</x:v>
      </x:c>
      <x:c r="N10" s="20" t="str">
        <x:v>Active</x:v>
      </x:c>
    </x:row>
    <x:row r="11">
      <x:c r="A11" s="20" t="str">
        <x:v>RACI-07</x:v>
      </x:c>
      <x:c r="B11" s="20" t="str">
        <x:v>Open conditional actions</x:v>
      </x:c>
      <x:c r="C11" s="20" t="str">
        <x:v>Risk indicator</x:v>
      </x:c>
      <x:c r="D11" s="20" t="str">
        <x:v>Approved-with-conditions events with actions not closed</x:v>
      </x:c>
      <x:c r="E11" s="20" t="str">
        <x:v>Decision Log</x:v>
      </x:c>
      <x:c r="F11" s="20" t="str">
        <x:v>0 overdue</x:v>
      </x:c>
      <x:c r="G11" s="20" t="str">
        <x:v>&gt; 3 overdue</x:v>
      </x:c>
      <x:c r="H11" s="20" t="str">
        <x:v>Monthly</x:v>
      </x:c>
      <x:c r="I11" s="20" t="str">
        <x:v>Business / Product Owner</x:v>
      </x:c>
      <x:c r="J11" s="20" t="str">
        <x:v>Residual execution risk</x:v>
      </x:c>
      <x:c r="K11" s="20" t="str">
        <x:v>Escalate overdue material conditions to risk acceptance authority.</x:v>
      </x:c>
      <x:c r="L11" s="20" t="str">
        <x:v>Assurance</x:v>
      </x:c>
      <x:c r="M11" s="20" t="str">
        <x:v>Actions</x:v>
      </x:c>
      <x:c r="N11" s="20" t="str">
        <x:v>Active</x:v>
      </x:c>
    </x:row>
    <x:row r="12">
      <x:c r="A12" s="20" t="str">
        <x:v>RACI-08</x:v>
      </x:c>
      <x:c r="B12" s="20" t="str">
        <x:v>Vacant accountable roles</x:v>
      </x:c>
      <x:c r="C12" s="20" t="str">
        <x:v>Risk indicator</x:v>
      </x:c>
      <x:c r="D12" s="20" t="str">
        <x:v>Active roles marked Vacant or without a named holder</x:v>
      </x:c>
      <x:c r="E12" s="20" t="str">
        <x:v>Role Directory</x:v>
      </x:c>
      <x:c r="F12" s="20" t="str">
        <x:v>0</x:v>
      </x:c>
      <x:c r="G12" s="20" t="str">
        <x:v>&gt; 0 critical roles</x:v>
      </x:c>
      <x:c r="H12" s="20" t="str">
        <x:v>Monthly</x:v>
      </x:c>
      <x:c r="I12" s="20" t="str">
        <x:v>Executive Sponsor</x:v>
      </x:c>
      <x:c r="J12" s="20" t="str">
        <x:v>Governance continuity</x:v>
      </x:c>
      <x:c r="K12" s="20" t="str">
        <x:v>Appoint interim owner and define delegation immediately.</x:v>
      </x:c>
      <x:c r="L12" s="20" t="str">
        <x:v>Operating Model</x:v>
      </x:c>
      <x:c r="M12" s="20" t="str">
        <x:v>People</x:v>
      </x:c>
      <x:c r="N12" s="20" t="str">
        <x:v>Active</x:v>
      </x:c>
    </x:row>
    <x:row r="13">
      <x:c r="A13" s="20" t="str">
        <x:v>RACI-09</x:v>
      </x:c>
      <x:c r="B13" s="20" t="str">
        <x:v>Role overload concentration</x:v>
      </x:c>
      <x:c r="C13" s="20" t="str">
        <x:v>Capacity KRI</x:v>
      </x:c>
      <x:c r="D13" s="20" t="str">
        <x:v>A assignments held by top role / all A assignments</x:v>
      </x:c>
      <x:c r="E13" s="20" t="str">
        <x:v>Decision RACI</x:v>
      </x:c>
      <x:c r="F13" s="20" t="str">
        <x:v>&lt;= 25%</x:v>
      </x:c>
      <x:c r="G13" s="20" t="str">
        <x:v>&gt; 40%</x:v>
      </x:c>
      <x:c r="H13" s="20" t="str">
        <x:v>Quarterly</x:v>
      </x:c>
      <x:c r="I13" s="20" t="str">
        <x:v>Executive Sponsor</x:v>
      </x:c>
      <x:c r="J13" s="20" t="str">
        <x:v>Key-person and decision bottleneck risk</x:v>
      </x:c>
      <x:c r="K13" s="20" t="str">
        <x:v>Delegate authority or redesign forums and role boundaries.</x:v>
      </x:c>
      <x:c r="L13" s="20" t="str">
        <x:v>Operating Model</x:v>
      </x:c>
      <x:c r="M13" s="20" t="str">
        <x:v>Capacity</x:v>
      </x:c>
      <x:c r="N13" s="20" t="str">
        <x:v>Active</x:v>
      </x:c>
    </x:row>
    <x:row r="14">
      <x:c r="A14" s="20" t="str">
        <x:v>RACI-10</x:v>
      </x:c>
      <x:c r="B14" s="20" t="str">
        <x:v>Consultation effectiveness</x:v>
      </x:c>
      <x:c r="C14" s="20" t="str">
        <x:v>Quality KPI</x:v>
      </x:c>
      <x:c r="D14" s="20" t="str">
        <x:v>Decisions returned due to missed consultation / completed decisions</x:v>
      </x:c>
      <x:c r="E14" s="20" t="str">
        <x:v>Decision Log</x:v>
      </x:c>
      <x:c r="F14" s="20" t="str">
        <x:v>&lt;= 5%</x:v>
      </x:c>
      <x:c r="G14" s="20" t="str">
        <x:v>&gt; 10%</x:v>
      </x:c>
      <x:c r="H14" s="20" t="str">
        <x:v>Quarterly</x:v>
      </x:c>
      <x:c r="I14" s="20" t="str">
        <x:v>AI Governance Lead</x:v>
      </x:c>
      <x:c r="J14" s="20" t="str">
        <x:v>Quality of C-role engagement</x:v>
      </x:c>
      <x:c r="K14" s="20" t="str">
        <x:v>Update required consultations and submission checklist.</x:v>
      </x:c>
      <x:c r="L14" s="20" t="str">
        <x:v>AI Governance</x:v>
      </x:c>
      <x:c r="M14" s="20" t="str">
        <x:v>Quality</x:v>
      </x:c>
      <x:c r="N14" s="20" t="str">
        <x:v>Active</x:v>
      </x:c>
    </x:row>
    <x:row r="15">
      <x:c r="A15" s="20" t="str">
        <x:v>RACI-11</x:v>
      </x:c>
      <x:c r="B15" s="20" t="str">
        <x:v>Decision reversal rate</x:v>
      </x:c>
      <x:c r="C15" s="20" t="str">
        <x:v>Outcome KRI</x:v>
      </x:c>
      <x:c r="D15" s="20" t="str">
        <x:v>Decisions reversed within review period / completed decisions</x:v>
      </x:c>
      <x:c r="E15" s="20" t="str">
        <x:v>Decision Log</x:v>
      </x:c>
      <x:c r="F15" s="20" t="str">
        <x:v>&lt;= 3%</x:v>
      </x:c>
      <x:c r="G15" s="20" t="str">
        <x:v>&gt; 8%</x:v>
      </x:c>
      <x:c r="H15" s="20" t="str">
        <x:v>Quarterly</x:v>
      </x:c>
      <x:c r="I15" s="20" t="str">
        <x:v>AI Steering Committee</x:v>
      </x:c>
      <x:c r="J15" s="20" t="str">
        <x:v>Decision quality and evidence sufficiency</x:v>
      </x:c>
      <x:c r="K15" s="20" t="str">
        <x:v>Perform root-cause analysis and strengthen decision criteria.</x:v>
      </x:c>
      <x:c r="L15" s="20" t="str">
        <x:v>Assurance</x:v>
      </x:c>
      <x:c r="M15" s="20" t="str">
        <x:v>Quality</x:v>
      </x:c>
      <x:c r="N15" s="20" t="str">
        <x:v>Active</x:v>
      </x:c>
    </x:row>
    <x:row r="16">
      <x:c r="A16" s="21" t="str">
        <x:v>RACI-12</x:v>
      </x:c>
      <x:c r="B16" s="21" t="str">
        <x:v>RACI review currency</x:v>
      </x:c>
      <x:c r="C16" s="21" t="str">
        <x:v>Control KPI</x:v>
      </x:c>
      <x:c r="D16" s="21" t="str">
        <x:v>RACI rows reviewed within required cadence / active rows</x:v>
      </x:c>
      <x:c r="E16" s="21" t="str">
        <x:v>Decision RACI / Lifecycle RACI</x:v>
      </x:c>
      <x:c r="F16" s="21" t="str">
        <x:v>&gt;= 95%</x:v>
      </x:c>
      <x:c r="G16" s="21" t="str">
        <x:v>&lt; 90%</x:v>
      </x:c>
      <x:c r="H16" s="21" t="str">
        <x:v>Quarterly</x:v>
      </x:c>
      <x:c r="I16" s="21" t="str">
        <x:v>AI Governance Office</x:v>
      </x:c>
      <x:c r="J16" s="21" t="str">
        <x:v>Operating-model currency</x:v>
      </x:c>
      <x:c r="K16" s="21" t="str">
        <x:v>Trigger owner attestation after organizational or regulatory change.</x:v>
      </x:c>
      <x:c r="L16" s="21" t="str">
        <x:v>Governance, Compliance &amp; Oversight</x:v>
      </x:c>
      <x:c r="M16" s="21" t="str">
        <x:v>Maintenance</x:v>
      </x:c>
      <x:c r="N16" s="21" t="str">
        <x:v>Active</x:v>
      </x:c>
    </x:row>
  </x:sheetData>
  <x:mergeCells>
    <x:mergeCell ref="A1:N1"/>
    <x:mergeCell ref="A2:N2"/>
  </x:mergeCells>
  <x:dataValidations count="1">
    <x:dataValidation type="list" sqref="N5:N104">
      <x:formula1>"Active,Draft,Retired"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3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3" t="str">
        <x:v>RACI Governance Dashboard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8" customHeight="1">
      <x:c r="A2" s="48" t="str">
        <x:v>Formula-driven summary of accountability design and operational decision performance.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56" t="str">
        <x:v>Metric</x:v>
      </x:c>
      <x:c r="B4" s="56" t="str">
        <x:v>Current</x:v>
      </x:c>
      <x:c r="C4" s="56" t="str">
        <x:v>Target</x:v>
      </x:c>
      <x:c r="D4" s="56" t="str">
        <x:v>Status</x:v>
      </x:c>
      <x:c r="E4" s="12"/>
      <x:c r="F4" s="50" t="str">
        <x:v>Executive interpretation</x:v>
      </x:c>
      <x:c r="G4" s="50"/>
      <x:c r="H4" s="50"/>
      <x:c r="I4" s="50"/>
      <x:c r="J4" s="50"/>
    </x:row>
    <x:row r="5" ht="25" customHeight="1">
      <x:c r="A5" s="13" t="str">
        <x:v>Single-A compliance</x:v>
      </x:c>
      <x:c r="B5" s="57" t="n">
        <x:f>IFERROR(COUNTIF('Decision RACI'!$AE$5:$AE$64,"Healthy")/COUNTIF('Decision RACI'!$B$5:$B$64,"&lt;&gt;"),0)</x:f>
        <x:v>1</x:v>
      </x:c>
      <x:c r="C5" s="57" t="n">
        <x:v>0.98</x:v>
      </x:c>
      <x:c r="D5" s="13" t="str">
        <x:f>IF(B5&gt;=C5,"On target","Attention")</x:f>
        <x:v>On target</x:v>
      </x:c>
      <x:c r="E5" s="12"/>
      <x:c r="F5" s="58" t="str">
        <x:v>Use the dashboard as a governance-system health view. Design metrics expose missing or competing accountability; operational metrics show whether decisions are timely, evidenced and properly escalated. Any red condition requires a named action owner, due date and governing-forum review—not simply a revised spreadsheet.</x:v>
      </x:c>
      <x:c r="G5" s="58"/>
      <x:c r="H5" s="58"/>
      <x:c r="I5" s="58"/>
      <x:c r="J5" s="58"/>
    </x:row>
    <x:row r="6" ht="25" customHeight="1">
      <x:c r="A6" s="14" t="str">
        <x:v>Responsible-role coverage</x:v>
      </x:c>
      <x:c r="B6" s="59" t="n">
        <x:f>IFERROR(COUNTIF('Decision RACI'!$AB$5:$AB$64,"&gt;=1")/COUNTIF('Decision RACI'!$B$5:$B$64,"&lt;&gt;"),0)</x:f>
        <x:v>1</x:v>
      </x:c>
      <x:c r="C6" s="59" t="n">
        <x:v>0.98</x:v>
      </x:c>
      <x:c r="D6" s="14" t="str">
        <x:f>IF(B6&gt;=C6,"On target","Attention")</x:f>
        <x:v>On target</x:v>
      </x:c>
      <x:c r="E6" s="12"/>
      <x:c r="F6" s="58"/>
      <x:c r="G6" s="58"/>
      <x:c r="H6" s="58"/>
      <x:c r="I6" s="58"/>
      <x:c r="J6" s="58"/>
    </x:row>
    <x:row r="7" ht="25" customHeight="1">
      <x:c r="A7" s="14" t="str">
        <x:v>Lifecycle A coverage</x:v>
      </x:c>
      <x:c r="B7" s="59" t="n">
        <x:f>IFERROR(MIN(1,COUNTIF('Lifecycle RACI'!$H$5:$V$64,"A")/COUNTIF('Lifecycle RACI'!$C$5:$C$64,"&lt;&gt;")),0)</x:f>
        <x:v>1</x:v>
      </x:c>
      <x:c r="C7" s="59" t="n">
        <x:v>1</x:v>
      </x:c>
      <x:c r="D7" s="14" t="str">
        <x:f>IF(B7&gt;=C7,"On target","Attention")</x:f>
        <x:v>On target</x:v>
      </x:c>
      <x:c r="E7" s="12"/>
      <x:c r="F7" s="58"/>
      <x:c r="G7" s="58"/>
      <x:c r="H7" s="58"/>
      <x:c r="I7" s="58"/>
      <x:c r="J7" s="58"/>
    </x:row>
    <x:row r="8" ht="25" customHeight="1">
      <x:c r="A8" s="14" t="str">
        <x:v>Decision SLA attainment</x:v>
      </x:c>
      <x:c r="B8" s="59" t="n">
        <x:f>IFERROR(COUNTIF('Decision Log'!$K$5:$K$104,"Yes")/COUNTIF('Decision Log'!$G$5:$G$104,"&lt;&gt;"),0)</x:f>
        <x:v>1</x:v>
      </x:c>
      <x:c r="C8" s="59" t="n">
        <x:v>0.9</x:v>
      </x:c>
      <x:c r="D8" s="14" t="str">
        <x:f>IF(B8&gt;=C8,"On target","Attention")</x:f>
        <x:v>On target</x:v>
      </x:c>
      <x:c r="E8" s="12"/>
      <x:c r="F8" s="58"/>
      <x:c r="G8" s="58"/>
      <x:c r="H8" s="58"/>
      <x:c r="I8" s="58"/>
      <x:c r="J8" s="58"/>
    </x:row>
    <x:row r="9" ht="25" customHeight="1">
      <x:c r="A9" s="14" t="str">
        <x:v>Escalation rate</x:v>
      </x:c>
      <x:c r="B9" s="59" t="n">
        <x:f>IFERROR(COUNTIF('Decision Log'!$L$5:$L$104,"Yes")/COUNTIF('Decision Log'!$G$5:$G$104,"&lt;&gt;"),0)</x:f>
        <x:v>0</x:v>
      </x:c>
      <x:c r="C9" s="59" t="n">
        <x:v>0.15</x:v>
      </x:c>
      <x:c r="D9" s="14" t="str">
        <x:f>IF(B9&lt;=C9,"On target","Attention")</x:f>
        <x:v>On target</x:v>
      </x:c>
      <x:c r="E9" s="12"/>
      <x:c r="F9" s="58"/>
      <x:c r="G9" s="58"/>
      <x:c r="H9" s="58"/>
      <x:c r="I9" s="58"/>
      <x:c r="J9" s="58"/>
    </x:row>
    <x:row r="10" ht="25" customHeight="1">
      <x:c r="A10" s="14" t="str">
        <x:v>Evidence completeness</x:v>
      </x:c>
      <x:c r="B10" s="59" t="n">
        <x:f>IFERROR((COUNTIF('Decision Log'!$M$5:$M$104,"Complete")+COUNTIF('Decision Log'!$M$5:$M$104,"Verified"))/COUNTIF('Decision Log'!$G$5:$G$104,"&lt;&gt;"),0)</x:f>
        <x:v>1</x:v>
      </x:c>
      <x:c r="C10" s="59" t="n">
        <x:v>0.95</x:v>
      </x:c>
      <x:c r="D10" s="14" t="str">
        <x:f>IF(B10&gt;=C10,"On target","Attention")</x:f>
        <x:v>On target</x:v>
      </x:c>
      <x:c r="E10" s="12"/>
      <x:c r="F10" s="12"/>
      <x:c r="G10" s="12"/>
      <x:c r="H10" s="12"/>
      <x:c r="I10" s="12"/>
      <x:c r="J10" s="12"/>
    </x:row>
    <x:row r="11" ht="25" customHeight="1">
      <x:c r="A11" s="14" t="str">
        <x:v>Vacant / unnamed active roles</x:v>
      </x:c>
      <x:c r="B11" s="60" t="n">
        <x:f>COUNTIF('Role Directory'!$I$5:$I$104,"Vacant")+COUNTIFS('Role Directory'!$I$5:$I$104,"Active",'Role Directory'!$D$5:$D$104,"")</x:f>
        <x:v>0</x:v>
      </x:c>
      <x:c r="C11" s="60" t="n">
        <x:v>0</x:v>
      </x:c>
      <x:c r="D11" s="14" t="str">
        <x:f>IF(B11=C11,"On target","Attention")</x:f>
        <x:v>On target</x:v>
      </x:c>
      <x:c r="E11" s="12"/>
      <x:c r="F11" s="12"/>
      <x:c r="G11" s="12"/>
      <x:c r="H11" s="12"/>
      <x:c r="I11" s="12"/>
      <x:c r="J11" s="12"/>
    </x:row>
    <x:row r="12" ht="25" customHeight="1">
      <x:c r="A12" s="15" t="str">
        <x:v>Open decision actions</x:v>
      </x:c>
      <x:c r="B12" s="61" t="n">
        <x:f>COUNTIF('Decision Log'!$P$5:$P$104,"Open")+COUNTIF('Decision Log'!$P$5:$P$104,"In Progress")+COUNTIF('Decision Log'!$P$5:$P$104,"Blocked")</x:f>
        <x:v>0</x:v>
      </x:c>
      <x:c r="C12" s="61" t="n">
        <x:v>0</x:v>
      </x:c>
      <x:c r="D12" s="15" t="str">
        <x:f>IF(B12=C12,"On target","Attention")</x:f>
        <x:v>On target</x:v>
      </x:c>
      <x:c r="E12" s="12"/>
      <x:c r="F12" s="12"/>
      <x:c r="G12" s="12"/>
      <x:c r="H12" s="12"/>
      <x:c r="I12" s="12"/>
      <x:c r="J12" s="12"/>
    </x:row>
  </x:sheetData>
  <x:mergeCells>
    <x:mergeCell ref="A1:J1"/>
    <x:mergeCell ref="A2:J2"/>
    <x:mergeCell ref="F4:J4"/>
    <x:mergeCell ref="F5:J9"/>
  </x:mergeCells>
  <x:conditionalFormatting sqref="D5:D12">
    <x:cfRule type="containsText" dxfId="3" priority="1" operator="containsText" text="On target"/>
    <x:cfRule type="containsText" dxfId="4" priority="2" operator="containsText" text="Attention"/>
  </x:conditionalFormatting>
  <x:pageMargins left="0.7" right="0.7" top="0.75" bottom="0.75" header="0.3" footer="0.3"/>
</x:worksheet>
</file>