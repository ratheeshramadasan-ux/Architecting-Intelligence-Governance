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e59c88c28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3b800158ee74e15"/>
    <x:sheet xmlns:r="http://schemas.openxmlformats.org/officeDocument/2006/relationships" name="Opportunity Intake" sheetId="2" r:id="Rb0d79d278bd74eab"/>
    <x:sheet xmlns:r="http://schemas.openxmlformats.org/officeDocument/2006/relationships" name="Scoring Model" sheetId="3" r:id="R3f3e37802e81424d"/>
    <x:sheet xmlns:r="http://schemas.openxmlformats.org/officeDocument/2006/relationships" name="Risk Review" sheetId="4" r:id="R1484b879b1294628"/>
    <x:sheet xmlns:r="http://schemas.openxmlformats.org/officeDocument/2006/relationships" name="Technology Dependencies" sheetId="5" r:id="Rab2d9cce061a459b"/>
    <x:sheet xmlns:r="http://schemas.openxmlformats.org/officeDocument/2006/relationships" name="Portfolio Dashboard" sheetId="6" r:id="R675e8d1d809f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0%"/>
    <x:numFmt numFmtId="202" formatCode="#,##0"/>
    <x:numFmt numFmtId="203" formatCode="0.0"/>
    <x:numFmt numFmtId="204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sz val="9"/>
      <x:color rgb="FF617181"/>
      <x:name val="Carlito"/>
    </x:font>
    <x:font>
      <x:b/>
      <x:sz val="9"/>
      <x:color rgb="FF08264A"/>
      <x:name val="Carlito"/>
    </x:font>
    <x:font>
      <x:sz val="9"/>
      <x:color rgb="FF173047"/>
      <x:name val="Carlito"/>
    </x:font>
    <x:font>
      <x:b/>
      <x:sz val="11"/>
      <x:color rgb="FF08264A"/>
      <x:name val="Carlito"/>
    </x:font>
    <x:font>
      <x:b/>
      <x:sz val="11"/>
      <x:color rgb="FFFFFFFF"/>
      <x:name val="Carlito"/>
    </x:font>
    <x:font>
      <x:b/>
      <x:sz val="13"/>
      <x:color rgb="FF0826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264A"/>
      </x:patternFill>
    </x:fill>
    <x:fill>
      <x:patternFill patternType="solid">
        <x:fgColor rgb="FFF7F5EF"/>
      </x:patternFill>
    </x:fill>
    <x:fill>
      <x:patternFill patternType="solid">
        <x:fgColor rgb="FFF3F5F7"/>
      </x:patternFill>
    </x:fill>
    <x:fill>
      <x:patternFill patternType="solid">
        <x:fgColor rgb="FFE3EDF5"/>
      </x:patternFill>
    </x:fill>
    <x:fill>
      <x:patternFill patternType="solid">
        <x:fgColor rgb="FFFFF8E8"/>
      </x:patternFill>
    </x:fill>
    <x:fill>
      <x:patternFill patternType="solid">
        <x:fgColor rgb="FF173F66"/>
      </x:patternFill>
    </x:fill>
  </x:fills>
  <x:borders count="2">
    <x:border/>
    <x:border>
      <x:bottom style="thin">
        <x:color rgb="FFDDE3E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201" fontId="4" fillId="6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201" fontId="6" fillId="7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203" fontId="7" fillId="3" borderId="0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vertical="top" wrapText="1"/>
    </x:xf>
    <x:xf numFmtId="202" fontId="7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45C3C"/>
      </x:font>
      <x:fill>
        <x:patternFill patternType="solid">
          <x:bgColor rgb="FFDDECE4"/>
        </x:patternFill>
      </x:fill>
    </x:dxf>
    <x:dxf>
      <x:font>
        <x:b/>
        <x:color rgb="FF7A5617"/>
      </x:font>
      <x:fill>
        <x:patternFill patternType="solid">
          <x:bgColor rgb="FFF5E9D5"/>
        </x:patternFill>
      </x:fill>
    </x:dxf>
    <x:dxf>
      <x:font>
        <x:b/>
        <x:color rgb="FF8B302A"/>
      </x:font>
      <x:fill>
        <x:patternFill patternType="solid">
          <x:bgColor rgb="FFF2DD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bd6cb01c84c8b" /><Relationship Type="http://schemas.openxmlformats.org/officeDocument/2006/relationships/theme" Target="/xl/theme/theme1.xml" Id="R132e6b2d8e254b18" /><Relationship Type="http://schemas.openxmlformats.org/officeDocument/2006/relationships/sharedStrings" Target="/xl/sharedStrings.xml" Id="Ra5e2a792c22246a1" /><Relationship Type="http://schemas.openxmlformats.org/officeDocument/2006/relationships/worksheet" Target="/xl/worksheets/sheet1.xml" Id="R93b800158ee74e15" /><Relationship Type="http://schemas.openxmlformats.org/officeDocument/2006/relationships/worksheet" Target="/xl/worksheets/sheet2.xml" Id="Rb0d79d278bd74eab" /><Relationship Type="http://schemas.openxmlformats.org/officeDocument/2006/relationships/worksheet" Target="/xl/worksheets/sheet3.xml" Id="R3f3e37802e81424d" /><Relationship Type="http://schemas.openxmlformats.org/officeDocument/2006/relationships/worksheet" Target="/xl/worksheets/sheet4.xml" Id="R1484b879b1294628" /><Relationship Type="http://schemas.openxmlformats.org/officeDocument/2006/relationships/worksheet" Target="/xl/worksheets/sheet5.xml" Id="Rab2d9cce061a459b" /><Relationship Type="http://schemas.openxmlformats.org/officeDocument/2006/relationships/worksheet" Target="/xl/worksheets/sheet6.xml" Id="R675e8d1d809f4536" /><Relationship Type="http://schemas.microsoft.com/office/2017/10/relationships/person" Target="/xl/persons/person.xml" Id="R9629f9c2b74346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f2cd60e9b640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Portfolio by Recommendation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Count</c:v>
          </c:tx>
          <c:dLbls/>
          <c:cat>
            <c:strRef>
              <c:f>'Portfolio Dashboard'!$D$5:$D$8</c:f>
              <c:strCache>
                <c:ptCount val="0"/>
              </c:strCache>
            </c:strRef>
          </c:cat>
          <c:val>
            <c:numRef>
              <c:f>'Portfolio Dashboard'!$E$5:$E$8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f2cd60e9b6409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atheesh Technology Ltd." id="{04D7AA12-BC08-47A7-8729-5009A35A7055}"/>
</xltc:personList>
</file>

<file path=xl/tables/table1.xml><?xml version="1.0" encoding="utf-8"?>
<x:table xmlns:x="http://schemas.openxmlformats.org/spreadsheetml/2006/main" id="1" name="OpportunityPortfolio" displayName="OpportunityPortfolio" ref="A4:AP34" headerRowCount="1" totalsRowCount="0" totalsRowShown="0">
  <x:tableColumns count="42">
    <x:tableColumn id="1" name="ID"/>
    <x:tableColumn id="2" name="Initiative"/>
    <x:tableColumn id="3" name="Business Unit"/>
    <x:tableColumn id="4" name="Process Owner"/>
    <x:tableColumn id="5" name="Automation Pattern"/>
    <x:tableColumn id="6" name="Process Summary"/>
    <x:tableColumn id="7" name="Monthly Volume"/>
    <x:tableColumn id="8" name="Minutes / Case"/>
    <x:tableColumn id="9" name="Labour Cost / Hour"/>
    <x:tableColumn id="10" name="Error / Rework %"/>
    <x:tableColumn id="11" name="Rule-Based %"/>
    <x:tableColumn id="12" name="Structured Data %"/>
    <x:tableColumn id="13" name="API Availability"/>
    <x:tableColumn id="14" name="UI Stability"/>
    <x:tableColumn id="15" name="Process Maturity"/>
    <x:tableColumn id="16" name="Data Readiness"/>
    <x:tableColumn id="17" name="Architecture Readiness"/>
    <x:tableColumn id="18" name="Strategic Alignment"/>
    <x:tableColumn id="19" name="Customer Impact"/>
    <x:tableColumn id="20" name="Employee Impact"/>
    <x:tableColumn id="21" name="Compliance Benefit"/>
    <x:tableColumn id="22" name="Time Criticality"/>
    <x:tableColumn id="23" name="Sponsor Readiness"/>
    <x:tableColumn id="24" name="Implementation Effort"/>
    <x:tableColumn id="25" name="Integration Complexity"/>
    <x:tableColumn id="26" name="Vendor Dependency"/>
    <x:tableColumn id="27" name="Security &amp; Privacy Risk"/>
    <x:tableColumn id="28" name="Decision / Model Risk"/>
    <x:tableColumn id="29" name="Operational Resilience Risk"/>
    <x:tableColumn id="30" name="Change Impact"/>
    <x:tableColumn id="31" name="Annual Hours"/>
    <x:tableColumn id="32" name="Gross Capacity Value"/>
    <x:tableColumn id="33" name="Value Score"/>
    <x:tableColumn id="34" name="Feasibility Score"/>
    <x:tableColumn id="35" name="Risk Exposure"/>
    <x:tableColumn id="36" name="Dependency Score"/>
    <x:tableColumn id="37" name="Priority Score"/>
    <x:tableColumn id="38" name="Recommendation"/>
    <x:tableColumn id="39" name="Governance Condition"/>
    <x:tableColumn id="40" name="Decision Owner"/>
    <x:tableColumn id="41" name="Target Decision Date"/>
    <x:tableColumn id="42" name="Status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RiskRegister" displayName="RiskRegister" ref="A4:L44" headerRowCount="1" totalsRowCount="0" totalsRowShown="0">
  <x:tableColumns count="12">
    <x:tableColumn id="1" name="Opportunity ID"/>
    <x:tableColumn id="2" name="Risk Domain"/>
    <x:tableColumn id="3" name="Risk Statement"/>
    <x:tableColumn id="4" name="Likelihood (1–5)"/>
    <x:tableColumn id="5" name="Impact (1–5)"/>
    <x:tableColumn id="6" name="Inherent Risk"/>
    <x:tableColumn id="7" name="Control / Treatment"/>
    <x:tableColumn id="8" name="Control Owner"/>
    <x:tableColumn id="9" name="Residual Likelihood"/>
    <x:tableColumn id="10" name="Residual Impact"/>
    <x:tableColumn id="11" name="Residual Risk"/>
    <x:tableColumn id="12" name="Evidence / Decision Link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echnologyDependencyRegister" displayName="TechnologyDependencyRegister" ref="A4:M34" headerRowCount="1" totalsRowCount="0" totalsRowShown="0">
  <x:tableColumns count="13">
    <x:tableColumn id="1" name="Opportunity ID"/>
    <x:tableColumn id="2" name="System / Platform"/>
    <x:tableColumn id="3" name="Role in Process"/>
    <x:tableColumn id="4" name="Current / Target"/>
    <x:tableColumn id="5" name="Integration Method"/>
    <x:tableColumn id="6" name="API Quality (1–5)"/>
    <x:tableColumn id="7" name="Identity / Access"/>
    <x:tableColumn id="8" name="Data Classification"/>
    <x:tableColumn id="9" name="Hosting / Region"/>
    <x:tableColumn id="10" name="Planned Change"/>
    <x:tableColumn id="11" name="Dependency Criticality"/>
    <x:tableColumn id="12" name="Mitigation / Design Decision"/>
    <x:tableColumn id="13" name="Owner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823238adb846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ee7b02b26854c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3629516951e4f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08d40f02b3b4a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32" hidden="0" customWidth="1"/>
    <x:col min="4" max="4" width="25" hidden="0" customWidth="1"/>
    <x:col min="5" max="5" width="34" hidden="0" customWidth="1"/>
    <x:col min="6" max="6" width="24" hidden="0" customWidth="1"/>
    <x:col min="7" max="7" width="20" hidden="0" customWidth="1"/>
    <x:col min="8" max="8" width="18" hidden="0" customWidth="1"/>
  </x:cols>
  <x:sheetData>
    <x:row r="1" ht="32" customHeight="1">
      <x:c r="A1" s="3" t="str">
        <x:v>AI &amp; RPA Opportunity Priority Matrix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A decision template for comparing automation opportunities using value, feasibility, strategic alignment, risk, technology landscape, and dependency readiness.</x:v>
      </x:c>
      <x:c r="B2" s="6"/>
      <x:c r="C2" s="6"/>
      <x:c r="D2" s="6"/>
      <x:c r="E2" s="6"/>
      <x:c r="F2" s="6"/>
      <x:c r="G2" s="6"/>
      <x:c r="H2" s="6"/>
    </x:row>
    <x:row r="4">
      <x:c r="A4" s="11" t="str">
        <x:v>How to use</x:v>
      </x:c>
      <x:c r="B4" s="11" t="str">
        <x:v>Owner</x:v>
      </x:c>
      <x:c r="C4" s="11" t="str">
        <x:v>Action</x:v>
      </x:c>
      <x:c r="D4" s="11" t="str">
        <x:v>Decision output</x:v>
      </x:c>
      <x:c r="E4" s="11" t="str">
        <x:v>Control principle</x:v>
      </x:c>
      <x:c r="F4" s="11" t="str">
        <x:v>Score scale</x:v>
      </x:c>
      <x:c r="G4" s="11" t="str">
        <x:v>Template status</x:v>
      </x:c>
      <x:c r="H4" s="11" t="str">
        <x:v>Version</x:v>
      </x:c>
    </x:row>
    <x:row r="5">
      <x:c r="A5" s="16" t="str">
        <x:v>1. Capture each candidate in Opportunity Intake.</x:v>
      </x:c>
      <x:c r="B5" s="16" t="str">
        <x:v>Business owner</x:v>
      </x:c>
      <x:c r="C5" s="16" t="str">
        <x:v>Describe the process and quantify volume, effort, error and impact.</x:v>
      </x:c>
      <x:c r="D5" s="16" t="str">
        <x:v>Comparable baseline</x:v>
      </x:c>
      <x:c r="E5" s="16" t="str">
        <x:v>Do not automate a poorly understood process.</x:v>
      </x:c>
      <x:c r="F5" s="16" t="str">
        <x:v>1=low / weak; 5=high / strong</x:v>
      </x:c>
      <x:c r="G5" s="16" t="str">
        <x:v>Editable template</x:v>
      </x:c>
      <x:c r="H5" s="16" t="str">
        <x:v>2026-07-19</x:v>
      </x:c>
    </x:row>
    <x:row r="6">
      <x:c r="A6" s="16" t="str">
        <x:v>2. Complete risk and technology questions.</x:v>
      </x:c>
      <x:c r="B6" s="16" t="str">
        <x:v>Risk + Architecture</x:v>
      </x:c>
      <x:c r="C6" s="16" t="str">
        <x:v>Assess data sensitivity, decision impact, resilience, systems, APIs and planned change.</x:v>
      </x:c>
      <x:c r="D6" s="16" t="str">
        <x:v>Risk and dependency profile</x:v>
      </x:c>
      <x:c r="E6" s="16" t="str">
        <x:v>Higher value never cancels an unacceptable control gap.</x:v>
      </x:c>
      <x:c r="F6" s="16" t="str">
        <x:v>Risk: 1=low; 5=very high</x:v>
      </x:c>
      <x:c r="G6" s="16" t="str">
        <x:v>Formula driven</x:v>
      </x:c>
      <x:c r="H6" s="16" t="str">
        <x:v>Sources in workbook</x:v>
      </x:c>
    </x:row>
    <x:row r="7">
      <x:c r="A7" s="16" t="str">
        <x:v>3. Review calculated scores and recommendation.</x:v>
      </x:c>
      <x:c r="B7" s="16" t="str">
        <x:v>AI/RPA CoE</x:v>
      </x:c>
      <x:c r="C7" s="16" t="str">
        <x:v>Challenge assumptions and compare the portfolio, not isolated ideas.</x:v>
      </x:c>
      <x:c r="D7" s="16" t="str">
        <x:v>Do Now / Pilot / Prepare / Defer</x:v>
      </x:c>
      <x:c r="E7" s="16" t="str">
        <x:v>Use the score to support—not replace—governance judgment.</x:v>
      </x:c>
      <x:c r="F7" s="16" t="str">
        <x:v>Readiness: 1=weak; 5=strong</x:v>
      </x:c>
      <x:c r="G7" s="16" t="str">
        <x:v>No macros</x:v>
      </x:c>
      <x:c r="H7" s="16" t="str">
        <x:v>Client-tailorable</x:v>
      </x:c>
    </x:row>
    <x:row r="8">
      <x:c r="A8" s="16" t="str">
        <x:v>4. Record conditions and decisions.</x:v>
      </x:c>
      <x:c r="B8" s="16" t="str">
        <x:v>Governance forum</x:v>
      </x:c>
      <x:c r="C8" s="16" t="str">
        <x:v>Approve, reject, defer or request evidence; assign owner and target date.</x:v>
      </x:c>
      <x:c r="D8" s="16" t="str">
        <x:v>Auditable decision</x:v>
      </x:c>
      <x:c r="E8" s="16" t="str">
        <x:v>High-risk AI requires proportionate testing and human oversight.</x:v>
      </x:c>
      <x:c r="F8" s="16" t="str">
        <x:v>All weights total 100%</x:v>
      </x:c>
      <x:c r="G8" s="16" t="str">
        <x:v>Risk-adjusted</x:v>
      </x:c>
      <x:c r="H8" s="16" t="str">
        <x:v>Enterprise neutral</x:v>
      </x:c>
    </x:row>
    <x:row r="9">
      <x:c r="A9" s="16" t="str">
        <x:v>Yellow cells are inputs; blue/green/amber/red cells are calculated or risk signals.</x:v>
      </x:c>
      <x:c r="B9" s="16" t="str">
        <x:v>Template custodian</x:v>
      </x:c>
      <x:c r="C9" s="16" t="str">
        <x:v>Adjust weights in Scoring Model before portfolio use.</x:v>
      </x:c>
      <x:c r="D9" s="16" t="str">
        <x:v>Transparent scoring</x:v>
      </x:c>
      <x:c r="E9" s="16" t="str">
        <x:v>Revalidate after material process, data, platform or vendor change.</x:v>
      </x:c>
      <x:c r="F9" s="16" t="str">
        <x:v>Use whole numbers 1–5</x:v>
      </x:c>
      <x:c r="G9" s="16" t="str">
        <x:v>Protected by convention</x:v>
      </x:c>
      <x:c r="H9" s="16" t="str">
        <x:v>Not legal advice</x:v>
      </x:c>
    </x:row>
    <x:row r="10">
      <x:c r="A10" s="17" t="str">
        <x:v>Suggested cadence: intake weekly; portfolio prioritization monthly; full refresh quarterly.</x:v>
      </x:c>
      <x:c r="B10" s="17" t="str">
        <x:v>Portfolio manager</x:v>
      </x:c>
      <x:c r="C10" s="17" t="str">
        <x:v>Archive decisions and evidence references.</x:v>
      </x:c>
      <x:c r="D10" s="17" t="str">
        <x:v>Living portfolio</x:v>
      </x:c>
      <x:c r="E10" s="17" t="str">
        <x:v>Retain rationale, not only the final score.</x:v>
      </x:c>
      <x:c r="F10" s="17" t="str">
        <x:v>Percentages stored as numbers</x:v>
      </x:c>
      <x:c r="G10" s="17" t="str">
        <x:v>Source checked</x:v>
      </x:c>
      <x:c r="H10" s="17" t="str">
        <x:v>2026-07-19</x:v>
      </x:c>
    </x:row>
    <x:row r="12">
      <x:c r="A12" s="20" t="str">
        <x:v>Decision sequence: Discover → Qualify → Risk &amp; Architecture Gate → Prioritize → Pilot → Production → Monitor</x:v>
      </x:c>
      <x:c r="B12" s="20"/>
      <x:c r="C12" s="20"/>
      <x:c r="D12" s="20"/>
      <x:c r="E12" s="20"/>
      <x:c r="F12" s="20"/>
      <x:c r="G12" s="20"/>
      <x:c r="H12" s="20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0" hidden="0" customWidth="1"/>
    <x:col min="5" max="5" width="20" hidden="0" customWidth="1"/>
    <x:col min="6" max="6" width="36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4" hidden="0" customWidth="1"/>
    <x:col min="15" max="15" width="15" hidden="0" customWidth="1"/>
    <x:col min="16" max="16" width="15" hidden="0" customWidth="1"/>
    <x:col min="17" max="17" width="18" hidden="0" customWidth="1"/>
    <x:col min="18" max="18" width="15" hidden="0" customWidth="1"/>
    <x:col min="19" max="19" width="15" hidden="0" customWidth="1"/>
    <x:col min="20" max="20" width="15" hidden="0" customWidth="1"/>
    <x:col min="21" max="21" width="17" hidden="0" customWidth="1"/>
    <x:col min="22" max="22" width="14" hidden="0" customWidth="1"/>
    <x:col min="23" max="23" width="16" hidden="0" customWidth="1"/>
    <x:col min="24" max="24" width="17" hidden="0" customWidth="1"/>
    <x:col min="25" max="25" width="18" hidden="0" customWidth="1"/>
    <x:col min="26" max="26" width="16" hidden="0" customWidth="1"/>
    <x:col min="27" max="27" width="18" hidden="0" customWidth="1"/>
    <x:col min="28" max="28" width="18" hidden="0" customWidth="1"/>
    <x:col min="29" max="29" width="18" hidden="0" customWidth="1"/>
    <x:col min="30" max="30" width="14" hidden="0" customWidth="1"/>
    <x:col min="31" max="31" width="16" hidden="0" customWidth="1"/>
    <x:col min="32" max="32" width="19" hidden="0" customWidth="1"/>
    <x:col min="33" max="33" width="14" hidden="0" customWidth="1"/>
    <x:col min="34" max="34" width="15" hidden="0" customWidth="1"/>
    <x:col min="35" max="35" width="14" hidden="0" customWidth="1"/>
    <x:col min="36" max="36" width="15" hidden="0" customWidth="1"/>
    <x:col min="37" max="37" width="14" hidden="0" customWidth="1"/>
    <x:col min="38" max="38" width="22" hidden="0" customWidth="1"/>
    <x:col min="39" max="39" width="40" hidden="0" customWidth="1"/>
    <x:col min="40" max="40" width="18" hidden="0" customWidth="1"/>
    <x:col min="41" max="41" width="17" hidden="0" customWidth="1"/>
    <x:col min="42" max="42" width="14" hidden="0" customWidth="1"/>
  </x:cols>
  <x:sheetData>
    <x:row r="1" ht="32" customHeight="1">
      <x:c r="A1" s="3" t="str">
        <x:v>Opportunity Intake &amp; Scorecard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</x:row>
    <x:row r="2" ht="30" customHeight="1">
      <x:c r="A2" s="6" t="str">
        <x:v>Enter one opportunity per row. Yellow columns are inputs; calculated columns translate value, readiness, risk and dependency into a comparable recommendation.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</x:row>
    <x:row r="4" ht="42" customHeight="1">
      <x:c r="A4" s="11" t="str">
        <x:v>ID</x:v>
      </x:c>
      <x:c r="B4" s="11" t="str">
        <x:v>Initiative</x:v>
      </x:c>
      <x:c r="C4" s="11" t="str">
        <x:v>Business Unit</x:v>
      </x:c>
      <x:c r="D4" s="11" t="str">
        <x:v>Process Owner</x:v>
      </x:c>
      <x:c r="E4" s="11" t="str">
        <x:v>Automation Pattern</x:v>
      </x:c>
      <x:c r="F4" s="11" t="str">
        <x:v>Process Summary</x:v>
      </x:c>
      <x:c r="G4" s="11" t="str">
        <x:v>Monthly Volume</x:v>
      </x:c>
      <x:c r="H4" s="11" t="str">
        <x:v>Minutes / Case</x:v>
      </x:c>
      <x:c r="I4" s="11" t="str">
        <x:v>Labour Cost / Hour</x:v>
      </x:c>
      <x:c r="J4" s="11" t="str">
        <x:v>Error / Rework %</x:v>
      </x:c>
      <x:c r="K4" s="11" t="str">
        <x:v>Rule-Based %</x:v>
      </x:c>
      <x:c r="L4" s="11" t="str">
        <x:v>Structured Data %</x:v>
      </x:c>
      <x:c r="M4" s="11" t="str">
        <x:v>API Availability</x:v>
      </x:c>
      <x:c r="N4" s="11" t="str">
        <x:v>UI Stability</x:v>
      </x:c>
      <x:c r="O4" s="11" t="str">
        <x:v>Process Maturity</x:v>
      </x:c>
      <x:c r="P4" s="11" t="str">
        <x:v>Data Readiness</x:v>
      </x:c>
      <x:c r="Q4" s="11" t="str">
        <x:v>Architecture Readiness</x:v>
      </x:c>
      <x:c r="R4" s="11" t="str">
        <x:v>Strategic Alignment</x:v>
      </x:c>
      <x:c r="S4" s="11" t="str">
        <x:v>Customer Impact</x:v>
      </x:c>
      <x:c r="T4" s="11" t="str">
        <x:v>Employee Impact</x:v>
      </x:c>
      <x:c r="U4" s="11" t="str">
        <x:v>Compliance Benefit</x:v>
      </x:c>
      <x:c r="V4" s="11" t="str">
        <x:v>Time Criticality</x:v>
      </x:c>
      <x:c r="W4" s="11" t="str">
        <x:v>Sponsor Readiness</x:v>
      </x:c>
      <x:c r="X4" s="11" t="str">
        <x:v>Implementation Effort</x:v>
      </x:c>
      <x:c r="Y4" s="11" t="str">
        <x:v>Integration Complexity</x:v>
      </x:c>
      <x:c r="Z4" s="11" t="str">
        <x:v>Vendor Dependency</x:v>
      </x:c>
      <x:c r="AA4" s="11" t="str">
        <x:v>Security &amp; Privacy Risk</x:v>
      </x:c>
      <x:c r="AB4" s="11" t="str">
        <x:v>Decision / Model Risk</x:v>
      </x:c>
      <x:c r="AC4" s="11" t="str">
        <x:v>Operational Resilience Risk</x:v>
      </x:c>
      <x:c r="AD4" s="11" t="str">
        <x:v>Change Impact</x:v>
      </x:c>
      <x:c r="AE4" s="11" t="str">
        <x:v>Annual Hours</x:v>
      </x:c>
      <x:c r="AF4" s="11" t="str">
        <x:v>Gross Capacity Value</x:v>
      </x:c>
      <x:c r="AG4" s="11" t="str">
        <x:v>Value Score</x:v>
      </x:c>
      <x:c r="AH4" s="11" t="str">
        <x:v>Feasibility Score</x:v>
      </x:c>
      <x:c r="AI4" s="11" t="str">
        <x:v>Risk Exposure</x:v>
      </x:c>
      <x:c r="AJ4" s="11" t="str">
        <x:v>Dependency Score</x:v>
      </x:c>
      <x:c r="AK4" s="11" t="str">
        <x:v>Priority Score</x:v>
      </x:c>
      <x:c r="AL4" s="11" t="str">
        <x:v>Recommendation</x:v>
      </x:c>
      <x:c r="AM4" s="11" t="str">
        <x:v>Governance Condition</x:v>
      </x:c>
      <x:c r="AN4" s="11" t="str">
        <x:v>Decision Owner</x:v>
      </x:c>
      <x:c r="AO4" s="11" t="str">
        <x:v>Target Decision Date</x:v>
      </x:c>
      <x:c r="AP4" s="11" t="str">
        <x:v>Status</x:v>
      </x:c>
    </x:row>
    <x:row r="5">
      <x:c r="A5" s="26" t="str">
        <x:v>OP-001</x:v>
      </x:c>
      <x:c r="B5" s="26" t="str">
        <x:v>Supplier invoice intake</x:v>
      </x:c>
      <x:c r="C5" s="26" t="str">
        <x:v>Finance</x:v>
      </x:c>
      <x:c r="D5" s="26" t="str">
        <x:v>AP Director</x:v>
      </x:c>
      <x:c r="E5" s="26" t="str">
        <x:v>Hybrid AI + RPA</x:v>
      </x:c>
      <x:c r="F5" s="26" t="str">
        <x:v>Extract invoice data, validate against PO and post approved items</x:v>
      </x:c>
      <x:c r="G5" s="28" t="n">
        <x:v>4500</x:v>
      </x:c>
      <x:c r="H5" s="28" t="n">
        <x:v>12</x:v>
      </x:c>
      <x:c r="I5" s="28" t="n">
        <x:v>42</x:v>
      </x:c>
      <x:c r="J5" s="30" t="n">
        <x:v>0.08</x:v>
      </x:c>
      <x:c r="K5" s="30" t="n">
        <x:v>0.85</x:v>
      </x:c>
      <x:c r="L5" s="30" t="n">
        <x:v>0.7</x:v>
      </x:c>
      <x:c r="M5" s="26" t="str">
        <x:v>Partial</x:v>
      </x:c>
      <x:c r="N5" s="26" t="str">
        <x:v>Stable</x:v>
      </x:c>
      <x:c r="O5" s="26" t="n">
        <x:v>4</x:v>
      </x:c>
      <x:c r="P5" s="26" t="n">
        <x:v>4</x:v>
      </x:c>
      <x:c r="Q5" s="26" t="n">
        <x:v>4</x:v>
      </x:c>
      <x:c r="R5" s="26" t="n">
        <x:v>5</x:v>
      </x:c>
      <x:c r="S5" s="26" t="n">
        <x:v>3</x:v>
      </x:c>
      <x:c r="T5" s="26" t="n">
        <x:v>4</x:v>
      </x:c>
      <x:c r="U5" s="26" t="n">
        <x:v>4</x:v>
      </x:c>
      <x:c r="V5" s="26" t="n">
        <x:v>4</x:v>
      </x:c>
      <x:c r="W5" s="26" t="n">
        <x:v>5</x:v>
      </x:c>
      <x:c r="X5" s="26" t="n">
        <x:v>3</x:v>
      </x:c>
      <x:c r="Y5" s="26" t="n">
        <x:v>3</x:v>
      </x:c>
      <x:c r="Z5" s="26" t="n">
        <x:v>2</x:v>
      </x:c>
      <x:c r="AA5" s="26" t="n">
        <x:v>3</x:v>
      </x:c>
      <x:c r="AB5" s="26" t="n">
        <x:v>2</x:v>
      </x:c>
      <x:c r="AC5" s="26" t="n">
        <x:v>3</x:v>
      </x:c>
      <x:c r="AD5" s="26" t="n">
        <x:v>3</x:v>
      </x:c>
      <x:c r="AE5" s="32" t="n">
        <x:f>IF(OR(G5="",H5=""),"",G5*12*H5/60)</x:f>
        <x:v>10800</x:v>
      </x:c>
      <x:c r="AF5" s="32" t="n">
        <x:f>IF(AE5="","",AE5*I5)</x:f>
        <x:v>453600</x:v>
      </x:c>
      <x:c r="AG5" s="34" t="n">
        <x:f>IF(A5="","",ROUND((MIN(5,AE5/1000)*25+MIN(5,AF5/100000)*25+R5*15+S5*10+T5*10+U5*10+V5*5)/5,1))</x:f>
        <x:v>88.7</x:v>
      </x:c>
      <x:c r="AH5" s="34" t="n">
        <x:f>IF(A5="","",ROUND(((K5*5)+(L5*5)+IF(M5="Strong",25,IF(M5="Partial",15,5))+IF(N5="Stable",20,IF(N5="Mixed",12,5))+O5*5+P5*5+Q5*5-W5*2)/5,1))</x:f>
        <x:v>18.6</x:v>
      </x:c>
      <x:c r="AI5" s="34" t="n">
        <x:f>IF(A5="","",ROUND((AA5*25+AB5*25+AC5*25+AD5*25)/5,1))</x:f>
        <x:v>55</x:v>
      </x:c>
      <x:c r="AJ5" s="34" t="n">
        <x:f>IF(A5="","",ROUND((X5*30+Y5*30+Z5*25+AD5*15)/5,1))</x:f>
        <x:v>55</x:v>
      </x:c>
      <x:c r="AK5" s="34" t="n">
        <x:f>IF(A5="","",ROUND(AG5*'Scoring Model'!$B$5+AH5*'Scoring Model'!$B$6+(100-AI5)*'Scoring Model'!$B$7+(100-AJ5)*'Scoring Model'!$B$8,1))</x:f>
        <x:v>53.7</x:v>
      </x:c>
      <x:c r="AL5" s="16" t="str">
        <x:f>IF(A5="","",IF(OR(AA5=5,AB5=5,AC5=5),"Pilot with Controls",IF(AK5&gt;=75,"Do Now",IF(AK5&gt;=60,"Pilot with Controls",IF(AK5&gt;=45,"Prepare / Remediate","Defer")))))</x:f>
        <x:v>Prepare / Remediate</x:v>
      </x:c>
      <x:c r="AM5" s="16" t="str">
        <x:f>IF(A5="","",IF(OR(AA5=5,AB5=5,AC5=5),"Enhanced risk, testing, human oversight and approval required",IF(AJ5&gt;=70,"Resolve architecture / vendor dependencies before commitment","Standard lifecycle controls")))</x:f>
        <x:v>Standard lifecycle controls</x:v>
      </x:c>
      <x:c r="AN5" s="16"/>
      <x:c r="AO5" s="36"/>
      <x:c r="AP5" s="16" t="str">
        <x:f>IF(A5="","","Draft")</x:f>
        <x:v>Draft</x:v>
      </x:c>
    </x:row>
    <x:row r="6">
      <x:c r="A6" s="26" t="str">
        <x:v>OP-002</x:v>
      </x:c>
      <x:c r="B6" s="26" t="str">
        <x:v>Employee access provisioning</x:v>
      </x:c>
      <x:c r="C6" s="26" t="str">
        <x:v>IT</x:v>
      </x:c>
      <x:c r="D6" s="26" t="str">
        <x:v>IAM Manager</x:v>
      </x:c>
      <x:c r="E6" s="26" t="str">
        <x:v>RPA / Workflow</x:v>
      </x:c>
      <x:c r="F6" s="26" t="str">
        <x:v>Provision standard access after approved request</x:v>
      </x:c>
      <x:c r="G6" s="28" t="n">
        <x:v>1200</x:v>
      </x:c>
      <x:c r="H6" s="28" t="n">
        <x:v>18</x:v>
      </x:c>
      <x:c r="I6" s="28" t="n">
        <x:v>55</x:v>
      </x:c>
      <x:c r="J6" s="30" t="n">
        <x:v>0.04</x:v>
      </x:c>
      <x:c r="K6" s="30" t="n">
        <x:v>0.95</x:v>
      </x:c>
      <x:c r="L6" s="30" t="n">
        <x:v>0.95</x:v>
      </x:c>
      <x:c r="M6" s="26" t="str">
        <x:v>Strong</x:v>
      </x:c>
      <x:c r="N6" s="26" t="str">
        <x:v>Stable</x:v>
      </x:c>
      <x:c r="O6" s="26" t="n">
        <x:v>5</x:v>
      </x:c>
      <x:c r="P6" s="26" t="n">
        <x:v>5</x:v>
      </x:c>
      <x:c r="Q6" s="26" t="n">
        <x:v>5</x:v>
      </x:c>
      <x:c r="R6" s="26" t="n">
        <x:v>4</x:v>
      </x:c>
      <x:c r="S6" s="26" t="n">
        <x:v>2</x:v>
      </x:c>
      <x:c r="T6" s="26" t="n">
        <x:v>4</x:v>
      </x:c>
      <x:c r="U6" s="26" t="n">
        <x:v>5</x:v>
      </x:c>
      <x:c r="V6" s="26" t="n">
        <x:v>5</x:v>
      </x:c>
      <x:c r="W6" s="26" t="n">
        <x:v>5</x:v>
      </x:c>
      <x:c r="X6" s="26" t="n">
        <x:v>2</x:v>
      </x:c>
      <x:c r="Y6" s="26" t="n">
        <x:v>2</x:v>
      </x:c>
      <x:c r="Z6" s="26" t="n">
        <x:v>2</x:v>
      </x:c>
      <x:c r="AA6" s="26" t="n">
        <x:v>4</x:v>
      </x:c>
      <x:c r="AB6" s="26" t="n">
        <x:v>1</x:v>
      </x:c>
      <x:c r="AC6" s="26" t="n">
        <x:v>4</x:v>
      </x:c>
      <x:c r="AD6" s="26" t="n">
        <x:v>2</x:v>
      </x:c>
      <x:c r="AE6" s="32" t="n">
        <x:f>IF(OR(G6="",H6=""),"",G6*12*H6/60)</x:f>
        <x:v>4320</x:v>
      </x:c>
      <x:c r="AF6" s="32" t="n">
        <x:f>IF(AE6="","",AE6*I6)</x:f>
        <x:v>237600</x:v>
      </x:c>
      <x:c r="AG6" s="34" t="n">
        <x:f>IF(A6="","",ROUND((MIN(5,AE6/1000)*25+MIN(5,AF6/100000)*25+R6*15+S6*10+T6*10+U6*10+V6*5)/5,1))</x:f>
        <x:v>72.5</x:v>
      </x:c>
      <x:c r="AH6" s="34" t="n">
        <x:f>IF(A6="","",ROUND(((K6*5)+(L6*5)+IF(M6="Strong",25,IF(M6="Partial",15,5))+IF(N6="Stable",20,IF(N6="Mixed",12,5))+O6*5+P6*5+Q6*5-W6*2)/5,1))</x:f>
        <x:v>23.9</x:v>
      </x:c>
      <x:c r="AI6" s="34" t="n">
        <x:f>IF(A6="","",ROUND((AA6*25+AB6*25+AC6*25+AD6*25)/5,1))</x:f>
        <x:v>55</x:v>
      </x:c>
      <x:c r="AJ6" s="34" t="n">
        <x:f>IF(A6="","",ROUND((X6*30+Y6*30+Z6*25+AD6*15)/5,1))</x:f>
        <x:v>40</x:v>
      </x:c>
      <x:c r="AK6" s="34" t="n">
        <x:f>IF(A6="","",ROUND(AG6*'Scoring Model'!$B$5+AH6*'Scoring Model'!$B$6+(100-AI6)*'Scoring Model'!$B$7+(100-AJ6)*'Scoring Model'!$B$8,1))</x:f>
        <x:v>52.4</x:v>
      </x:c>
      <x:c r="AL6" s="16" t="str">
        <x:f>IF(A6="","",IF(OR(AA6=5,AB6=5,AC6=5),"Pilot with Controls",IF(AK6&gt;=75,"Do Now",IF(AK6&gt;=60,"Pilot with Controls",IF(AK6&gt;=45,"Prepare / Remediate","Defer")))))</x:f>
        <x:v>Prepare / Remediate</x:v>
      </x:c>
      <x:c r="AM6" s="16" t="str">
        <x:f>IF(A6="","",IF(OR(AA6=5,AB6=5,AC6=5),"Enhanced risk, testing, human oversight and approval required",IF(AJ6&gt;=70,"Resolve architecture / vendor dependencies before commitment","Standard lifecycle controls")))</x:f>
        <x:v>Standard lifecycle controls</x:v>
      </x:c>
      <x:c r="AN6" s="16"/>
      <x:c r="AO6" s="36"/>
      <x:c r="AP6" s="16" t="str">
        <x:f>IF(A6="","","Draft")</x:f>
        <x:v>Draft</x:v>
      </x:c>
    </x:row>
    <x:row r="7">
      <x:c r="A7" s="26" t="str">
        <x:v>OP-003</x:v>
      </x:c>
      <x:c r="B7" s="26" t="str">
        <x:v>Customer complaint triage</x:v>
      </x:c>
      <x:c r="C7" s="26" t="str">
        <x:v>Operations</x:v>
      </x:c>
      <x:c r="D7" s="26" t="str">
        <x:v>CX Director</x:v>
      </x:c>
      <x:c r="E7" s="26" t="str">
        <x:v>AI Assist</x:v>
      </x:c>
      <x:c r="F7" s="26" t="str">
        <x:v>Classify, summarize and route complaints with human review</x:v>
      </x:c>
      <x:c r="G7" s="28" t="n">
        <x:v>2600</x:v>
      </x:c>
      <x:c r="H7" s="28" t="n">
        <x:v>9</x:v>
      </x:c>
      <x:c r="I7" s="28" t="n">
        <x:v>48</x:v>
      </x:c>
      <x:c r="J7" s="30" t="n">
        <x:v>0.1</x:v>
      </x:c>
      <x:c r="K7" s="30" t="n">
        <x:v>0.55</x:v>
      </x:c>
      <x:c r="L7" s="30" t="n">
        <x:v>0.45</x:v>
      </x:c>
      <x:c r="M7" s="26" t="str">
        <x:v>Partial</x:v>
      </x:c>
      <x:c r="N7" s="26" t="str">
        <x:v>Stable</x:v>
      </x:c>
      <x:c r="O7" s="26" t="n">
        <x:v>4</x:v>
      </x:c>
      <x:c r="P7" s="26" t="n">
        <x:v>3</x:v>
      </x:c>
      <x:c r="Q7" s="26" t="n">
        <x:v>3</x:v>
      </x:c>
      <x:c r="R7" s="26" t="n">
        <x:v>4</x:v>
      </x:c>
      <x:c r="S7" s="26" t="n">
        <x:v>5</x:v>
      </x:c>
      <x:c r="T7" s="26" t="n">
        <x:v>4</x:v>
      </x:c>
      <x:c r="U7" s="26" t="n">
        <x:v>4</x:v>
      </x:c>
      <x:c r="V7" s="26" t="n">
        <x:v>5</x:v>
      </x:c>
      <x:c r="W7" s="26" t="n">
        <x:v>4</x:v>
      </x:c>
      <x:c r="X7" s="26" t="n">
        <x:v>3</x:v>
      </x:c>
      <x:c r="Y7" s="26" t="n">
        <x:v>3</x:v>
      </x:c>
      <x:c r="Z7" s="26" t="n">
        <x:v>3</x:v>
      </x:c>
      <x:c r="AA7" s="26" t="n">
        <x:v>4</x:v>
      </x:c>
      <x:c r="AB7" s="26" t="n">
        <x:v>4</x:v>
      </x:c>
      <x:c r="AC7" s="26" t="n">
        <x:v>3</x:v>
      </x:c>
      <x:c r="AD7" s="26" t="n">
        <x:v>4</x:v>
      </x:c>
      <x:c r="AE7" s="32" t="n">
        <x:f>IF(OR(G7="",H7=""),"",G7*12*H7/60)</x:f>
        <x:v>4680</x:v>
      </x:c>
      <x:c r="AF7" s="32" t="n">
        <x:f>IF(AE7="","",AE7*I7)</x:f>
        <x:v>224640</x:v>
      </x:c>
      <x:c r="AG7" s="34" t="n">
        <x:f>IF(A7="","",ROUND((MIN(5,AE7/1000)*25+MIN(5,AF7/100000)*25+R7*15+S7*10+T7*10+U7*10+V7*5)/5,1))</x:f>
        <x:v>77.6</x:v>
      </x:c>
      <x:c r="AH7" s="34" t="n">
        <x:f>IF(A7="","",ROUND(((K7*5)+(L7*5)+IF(M7="Strong",25,IF(M7="Partial",15,5))+IF(N7="Stable",20,IF(N7="Mixed",12,5))+O7*5+P7*5+Q7*5-W7*2)/5,1))</x:f>
        <x:v>16.4</x:v>
      </x:c>
      <x:c r="AI7" s="34" t="n">
        <x:f>IF(A7="","",ROUND((AA7*25+AB7*25+AC7*25+AD7*25)/5,1))</x:f>
        <x:v>75</x:v>
      </x:c>
      <x:c r="AJ7" s="34" t="n">
        <x:f>IF(A7="","",ROUND((X7*30+Y7*30+Z7*25+AD7*15)/5,1))</x:f>
        <x:v>63</x:v>
      </x:c>
      <x:c r="AK7" s="34" t="n">
        <x:f>IF(A7="","",ROUND(AG7*'Scoring Model'!$B$5+AH7*'Scoring Model'!$B$6+(100-AI7)*'Scoring Model'!$B$7+(100-AJ7)*'Scoring Model'!$B$8,1))</x:f>
        <x:v>43.7</x:v>
      </x:c>
      <x:c r="AL7" s="16" t="str">
        <x:f>IF(A7="","",IF(OR(AA7=5,AB7=5,AC7=5),"Pilot with Controls",IF(AK7&gt;=75,"Do Now",IF(AK7&gt;=60,"Pilot with Controls",IF(AK7&gt;=45,"Prepare / Remediate","Defer")))))</x:f>
        <x:v>Defer</x:v>
      </x:c>
      <x:c r="AM7" s="16" t="str">
        <x:f>IF(A7="","",IF(OR(AA7=5,AB7=5,AC7=5),"Enhanced risk, testing, human oversight and approval required",IF(AJ7&gt;=70,"Resolve architecture / vendor dependencies before commitment","Standard lifecycle controls")))</x:f>
        <x:v>Standard lifecycle controls</x:v>
      </x:c>
      <x:c r="AN7" s="16"/>
      <x:c r="AO7" s="36"/>
      <x:c r="AP7" s="16" t="str">
        <x:f>IF(A7="","","Draft")</x:f>
        <x:v>Draft</x:v>
      </x:c>
    </x:row>
    <x:row r="8">
      <x:c r="A8" s="26" t="str">
        <x:v>OP-004</x:v>
      </x:c>
      <x:c r="B8" s="26" t="str">
        <x:v>Credit approval recommendation</x:v>
      </x:c>
      <x:c r="C8" s="26" t="str">
        <x:v>Risk</x:v>
      </x:c>
      <x:c r="D8" s="26" t="str">
        <x:v>Lending VP</x:v>
      </x:c>
      <x:c r="E8" s="26" t="str">
        <x:v>Decision AI</x:v>
      </x:c>
      <x:c r="F8" s="26" t="str">
        <x:v>Recommend credit outcome for human approval</x:v>
      </x:c>
      <x:c r="G8" s="28" t="n">
        <x:v>900</x:v>
      </x:c>
      <x:c r="H8" s="28" t="n">
        <x:v>35</x:v>
      </x:c>
      <x:c r="I8" s="28" t="n">
        <x:v>75</x:v>
      </x:c>
      <x:c r="J8" s="30" t="n">
        <x:v>0.03</x:v>
      </x:c>
      <x:c r="K8" s="30" t="n">
        <x:v>0.6</x:v>
      </x:c>
      <x:c r="L8" s="30" t="n">
        <x:v>0.8</x:v>
      </x:c>
      <x:c r="M8" s="26" t="str">
        <x:v>Strong</x:v>
      </x:c>
      <x:c r="N8" s="26" t="str">
        <x:v>Stable</x:v>
      </x:c>
      <x:c r="O8" s="26" t="n">
        <x:v>5</x:v>
      </x:c>
      <x:c r="P8" s="26" t="n">
        <x:v>4</x:v>
      </x:c>
      <x:c r="Q8" s="26" t="n">
        <x:v>4</x:v>
      </x:c>
      <x:c r="R8" s="26" t="n">
        <x:v>5</x:v>
      </x:c>
      <x:c r="S8" s="26" t="n">
        <x:v>5</x:v>
      </x:c>
      <x:c r="T8" s="26" t="n">
        <x:v>3</x:v>
      </x:c>
      <x:c r="U8" s="26" t="n">
        <x:v>5</x:v>
      </x:c>
      <x:c r="V8" s="26" t="n">
        <x:v>5</x:v>
      </x:c>
      <x:c r="W8" s="26" t="n">
        <x:v>5</x:v>
      </x:c>
      <x:c r="X8" s="26" t="n">
        <x:v>5</x:v>
      </x:c>
      <x:c r="Y8" s="26" t="n">
        <x:v>4</x:v>
      </x:c>
      <x:c r="Z8" s="26" t="n">
        <x:v>4</x:v>
      </x:c>
      <x:c r="AA8" s="26" t="n">
        <x:v>4</x:v>
      </x:c>
      <x:c r="AB8" s="26" t="n">
        <x:v>5</x:v>
      </x:c>
      <x:c r="AC8" s="26" t="n">
        <x:v>5</x:v>
      </x:c>
      <x:c r="AD8" s="26" t="n">
        <x:v>4</x:v>
      </x:c>
      <x:c r="AE8" s="32" t="n">
        <x:f>IF(OR(G8="",H8=""),"",G8*12*H8/60)</x:f>
        <x:v>6300</x:v>
      </x:c>
      <x:c r="AF8" s="32" t="n">
        <x:f>IF(AE8="","",AE8*I8)</x:f>
        <x:v>472500</x:v>
      </x:c>
      <x:c r="AG8" s="34" t="n">
        <x:f>IF(A8="","",ROUND((MIN(5,AE8/1000)*25+MIN(5,AF8/100000)*25+R8*15+S8*10+T8*10+U8*10+V8*5)/5,1))</x:f>
        <x:v>94.6</x:v>
      </x:c>
      <x:c r="AH8" s="34" t="n">
        <x:f>IF(A8="","",ROUND(((K8*5)+(L8*5)+IF(M8="Strong",25,IF(M8="Partial",15,5))+IF(N8="Stable",20,IF(N8="Mixed",12,5))+O8*5+P8*5+Q8*5-W8*2)/5,1))</x:f>
        <x:v>21.4</x:v>
      </x:c>
      <x:c r="AI8" s="34" t="n">
        <x:f>IF(A8="","",ROUND((AA8*25+AB8*25+AC8*25+AD8*25)/5,1))</x:f>
        <x:v>90</x:v>
      </x:c>
      <x:c r="AJ8" s="34" t="n">
        <x:f>IF(A8="","",ROUND((X8*30+Y8*30+Z8*25+AD8*15)/5,1))</x:f>
        <x:v>86</x:v>
      </x:c>
      <x:c r="AK8" s="34" t="n">
        <x:f>IF(A8="","",ROUND(AG8*'Scoring Model'!$B$5+AH8*'Scoring Model'!$B$6+(100-AI8)*'Scoring Model'!$B$7+(100-AJ8)*'Scoring Model'!$B$8,1))</x:f>
        <x:v>43.3</x:v>
      </x:c>
      <x:c r="AL8" s="16" t="str">
        <x:f>IF(A8="","",IF(OR(AA8=5,AB8=5,AC8=5),"Pilot with Controls",IF(AK8&gt;=75,"Do Now",IF(AK8&gt;=60,"Pilot with Controls",IF(AK8&gt;=45,"Prepare / Remediate","Defer")))))</x:f>
        <x:v>Pilot with Controls</x:v>
      </x:c>
      <x:c r="AM8" s="16" t="str">
        <x:f>IF(A8="","",IF(OR(AA8=5,AB8=5,AC8=5),"Enhanced risk, testing, human oversight and approval required",IF(AJ8&gt;=70,"Resolve architecture / vendor dependencies before commitment","Standard lifecycle controls")))</x:f>
        <x:v>Enhanced risk, testing, human oversight and approval required</x:v>
      </x:c>
      <x:c r="AN8" s="16"/>
      <x:c r="AO8" s="36"/>
      <x:c r="AP8" s="16" t="str">
        <x:f>IF(A8="","","Draft")</x:f>
        <x:v>Draft</x:v>
      </x:c>
    </x:row>
    <x:row r="9">
      <x:c r="A9" s="26" t="str">
        <x:v>OP-005</x:v>
      </x:c>
      <x:c r="B9" s="26" t="str">
        <x:v>Legacy report download</x:v>
      </x:c>
      <x:c r="C9" s="26" t="str">
        <x:v>Finance</x:v>
      </x:c>
      <x:c r="D9" s="26" t="str">
        <x:v>Controller</x:v>
      </x:c>
      <x:c r="E9" s="26" t="str">
        <x:v>RPA</x:v>
      </x:c>
      <x:c r="F9" s="26" t="str">
        <x:v>Download, rename and distribute recurring reports</x:v>
      </x:c>
      <x:c r="G9" s="28" t="n">
        <x:v>300</x:v>
      </x:c>
      <x:c r="H9" s="28" t="n">
        <x:v>22</x:v>
      </x:c>
      <x:c r="I9" s="28" t="n">
        <x:v>45</x:v>
      </x:c>
      <x:c r="J9" s="30" t="n">
        <x:v>0.02</x:v>
      </x:c>
      <x:c r="K9" s="30" t="n">
        <x:v>1</x:v>
      </x:c>
      <x:c r="L9" s="30" t="n">
        <x:v>1</x:v>
      </x:c>
      <x:c r="M9" s="26" t="str">
        <x:v>None</x:v>
      </x:c>
      <x:c r="N9" s="26" t="str">
        <x:v>Changing</x:v>
      </x:c>
      <x:c r="O9" s="26" t="n">
        <x:v>3</x:v>
      </x:c>
      <x:c r="P9" s="26" t="n">
        <x:v>5</x:v>
      </x:c>
      <x:c r="Q9" s="26" t="n">
        <x:v>2</x:v>
      </x:c>
      <x:c r="R9" s="26" t="n">
        <x:v>3</x:v>
      </x:c>
      <x:c r="S9" s="26" t="n">
        <x:v>1</x:v>
      </x:c>
      <x:c r="T9" s="26" t="n">
        <x:v>3</x:v>
      </x:c>
      <x:c r="U9" s="26" t="n">
        <x:v>2</x:v>
      </x:c>
      <x:c r="V9" s="26" t="n">
        <x:v>3</x:v>
      </x:c>
      <x:c r="W9" s="26" t="n">
        <x:v>4</x:v>
      </x:c>
      <x:c r="X9" s="26" t="n">
        <x:v>2</x:v>
      </x:c>
      <x:c r="Y9" s="26" t="n">
        <x:v>3</x:v>
      </x:c>
      <x:c r="Z9" s="26" t="n">
        <x:v>4</x:v>
      </x:c>
      <x:c r="AA9" s="26" t="n">
        <x:v>2</x:v>
      </x:c>
      <x:c r="AB9" s="26" t="n">
        <x:v>1</x:v>
      </x:c>
      <x:c r="AC9" s="26" t="n">
        <x:v>3</x:v>
      </x:c>
      <x:c r="AD9" s="26" t="n">
        <x:v>3</x:v>
      </x:c>
      <x:c r="AE9" s="32" t="n">
        <x:f>IF(OR(G9="",H9=""),"",G9*12*H9/60)</x:f>
        <x:v>1320</x:v>
      </x:c>
      <x:c r="AF9" s="32" t="n">
        <x:f>IF(AE9="","",AE9*I9)</x:f>
        <x:v>59400</x:v>
      </x:c>
      <x:c r="AG9" s="34" t="n">
        <x:f>IF(A9="","",ROUND((MIN(5,AE9/1000)*25+MIN(5,AF9/100000)*25+R9*15+S9*10+T9*10+U9*10+V9*5)/5,1))</x:f>
        <x:v>33.6</x:v>
      </x:c>
      <x:c r="AH9" s="34" t="n">
        <x:f>IF(A9="","",ROUND(((K9*5)+(L9*5)+IF(M9="Strong",25,IF(M9="Partial",15,5))+IF(N9="Stable",20,IF(N9="Mixed",12,5))+O9*5+P9*5+Q9*5-W9*2)/5,1))</x:f>
        <x:v>12.4</x:v>
      </x:c>
      <x:c r="AI9" s="34" t="n">
        <x:f>IF(A9="","",ROUND((AA9*25+AB9*25+AC9*25+AD9*25)/5,1))</x:f>
        <x:v>45</x:v>
      </x:c>
      <x:c r="AJ9" s="34" t="n">
        <x:f>IF(A9="","",ROUND((X9*30+Y9*30+Z9*25+AD9*15)/5,1))</x:f>
        <x:v>59</x:v>
      </x:c>
      <x:c r="AK9" s="34" t="n">
        <x:f>IF(A9="","",ROUND(AG9*'Scoring Model'!$B$5+AH9*'Scoring Model'!$B$6+(100-AI9)*'Scoring Model'!$B$7+(100-AJ9)*'Scoring Model'!$B$8,1))</x:f>
        <x:v>34.1</x:v>
      </x:c>
      <x:c r="AL9" s="16" t="str">
        <x:f>IF(A9="","",IF(OR(AA9=5,AB9=5,AC9=5),"Pilot with Controls",IF(AK9&gt;=75,"Do Now",IF(AK9&gt;=60,"Pilot with Controls",IF(AK9&gt;=45,"Prepare / Remediate","Defer")))))</x:f>
        <x:v>Defer</x:v>
      </x:c>
      <x:c r="AM9" s="16" t="str">
        <x:f>IF(A9="","",IF(OR(AA9=5,AB9=5,AC9=5),"Enhanced risk, testing, human oversight and approval required",IF(AJ9&gt;=70,"Resolve architecture / vendor dependencies before commitment","Standard lifecycle controls")))</x:f>
        <x:v>Standard lifecycle controls</x:v>
      </x:c>
      <x:c r="AN9" s="16"/>
      <x:c r="AO9" s="36"/>
      <x:c r="AP9" s="16" t="str">
        <x:f>IF(A9="","","Draft")</x:f>
        <x:v>Draft</x:v>
      </x:c>
    </x:row>
    <x:row r="10">
      <x:c r="A10" s="26" t="str">
        <x:v>OP-006</x:v>
      </x:c>
      <x:c r="B10" s="26" t="str">
        <x:v>Contract clause review</x:v>
      </x:c>
      <x:c r="C10" s="26" t="str">
        <x:v>Legal</x:v>
      </x:c>
      <x:c r="D10" s="26" t="str">
        <x:v>General Counsel</x:v>
      </x:c>
      <x:c r="E10" s="26" t="str">
        <x:v>AI Assist</x:v>
      </x:c>
      <x:c r="F10" s="26" t="str">
        <x:v>Identify clauses and deviations for counsel review</x:v>
      </x:c>
      <x:c r="G10" s="28" t="n">
        <x:v>420</x:v>
      </x:c>
      <x:c r="H10" s="28" t="n">
        <x:v>50</x:v>
      </x:c>
      <x:c r="I10" s="28" t="n">
        <x:v>120</x:v>
      </x:c>
      <x:c r="J10" s="30" t="n">
        <x:v>0.06</x:v>
      </x:c>
      <x:c r="K10" s="30" t="n">
        <x:v>0.45</x:v>
      </x:c>
      <x:c r="L10" s="30" t="n">
        <x:v>0.3</x:v>
      </x:c>
      <x:c r="M10" s="26" t="str">
        <x:v>Partial</x:v>
      </x:c>
      <x:c r="N10" s="26" t="str">
        <x:v>Stable</x:v>
      </x:c>
      <x:c r="O10" s="26" t="n">
        <x:v>3</x:v>
      </x:c>
      <x:c r="P10" s="26" t="n">
        <x:v>3</x:v>
      </x:c>
      <x:c r="Q10" s="26" t="n">
        <x:v>3</x:v>
      </x:c>
      <x:c r="R10" s="26" t="n">
        <x:v>4</x:v>
      </x:c>
      <x:c r="S10" s="26" t="n">
        <x:v>4</x:v>
      </x:c>
      <x:c r="T10" s="26" t="n">
        <x:v>4</x:v>
      </x:c>
      <x:c r="U10" s="26" t="n">
        <x:v>5</x:v>
      </x:c>
      <x:c r="V10" s="26" t="n">
        <x:v>4</x:v>
      </x:c>
      <x:c r="W10" s="26" t="n">
        <x:v>4</x:v>
      </x:c>
      <x:c r="X10" s="26" t="n">
        <x:v>4</x:v>
      </x:c>
      <x:c r="Y10" s="26" t="n">
        <x:v>4</x:v>
      </x:c>
      <x:c r="Z10" s="26" t="n">
        <x:v>3</x:v>
      </x:c>
      <x:c r="AA10" s="26" t="n">
        <x:v>4</x:v>
      </x:c>
      <x:c r="AB10" s="26" t="n">
        <x:v>4</x:v>
      </x:c>
      <x:c r="AC10" s="26" t="n">
        <x:v>3</x:v>
      </x:c>
      <x:c r="AD10" s="26" t="n">
        <x:v>4</x:v>
      </x:c>
      <x:c r="AE10" s="32" t="n">
        <x:f>IF(OR(G10="",H10=""),"",G10*12*H10/60)</x:f>
        <x:v>4200</x:v>
      </x:c>
      <x:c r="AF10" s="32" t="n">
        <x:f>IF(AE10="","",AE10*I10)</x:f>
        <x:v>504000</x:v>
      </x:c>
      <x:c r="AG10" s="34" t="n">
        <x:f>IF(A10="","",ROUND((MIN(5,AE10/1000)*25+MIN(5,AF10/100000)*25+R10*15+S10*10+T10*10+U10*10+V10*5)/5,1))</x:f>
        <x:v>88</x:v>
      </x:c>
      <x:c r="AH10" s="34" t="n">
        <x:f>IF(A10="","",ROUND(((K10*5)+(L10*5)+IF(M10="Strong",25,IF(M10="Partial",15,5))+IF(N10="Stable",20,IF(N10="Mixed",12,5))+O10*5+P10*5+Q10*5-W10*2)/5,1))</x:f>
        <x:v>15.2</x:v>
      </x:c>
      <x:c r="AI10" s="34" t="n">
        <x:f>IF(A10="","",ROUND((AA10*25+AB10*25+AC10*25+AD10*25)/5,1))</x:f>
        <x:v>75</x:v>
      </x:c>
      <x:c r="AJ10" s="34" t="n">
        <x:f>IF(A10="","",ROUND((X10*30+Y10*30+Z10*25+AD10*15)/5,1))</x:f>
        <x:v>75</x:v>
      </x:c>
      <x:c r="AK10" s="34" t="n">
        <x:f>IF(A10="","",ROUND(AG10*'Scoring Model'!$B$5+AH10*'Scoring Model'!$B$6+(100-AI10)*'Scoring Model'!$B$7+(100-AJ10)*'Scoring Model'!$B$8,1))</x:f>
        <x:v>44.6</x:v>
      </x:c>
      <x:c r="AL10" s="16" t="str">
        <x:f>IF(A10="","",IF(OR(AA10=5,AB10=5,AC10=5),"Pilot with Controls",IF(AK10&gt;=75,"Do Now",IF(AK10&gt;=60,"Pilot with Controls",IF(AK10&gt;=45,"Prepare / Remediate","Defer")))))</x:f>
        <x:v>Defer</x:v>
      </x:c>
      <x:c r="AM10" s="16" t="str">
        <x:f>IF(A10="","",IF(OR(AA10=5,AB10=5,AC10=5),"Enhanced risk, testing, human oversight and approval required",IF(AJ10&gt;=70,"Resolve architecture / vendor dependencies before commitment","Standard lifecycle controls")))</x:f>
        <x:v>Resolve architecture / vendor dependencies before commitment</x:v>
      </x:c>
      <x:c r="AN10" s="16"/>
      <x:c r="AO10" s="36"/>
      <x:c r="AP10" s="16" t="str">
        <x:f>IF(A10="","","Draft")</x:f>
        <x:v>Draft</x:v>
      </x:c>
    </x:row>
    <x:row r="11">
      <x:c r="A11" s="26" t="str"/>
      <x:c r="B11" s="26" t="str"/>
      <x:c r="C11" s="26" t="str"/>
      <x:c r="D11" s="26" t="str"/>
      <x:c r="E11" s="26" t="str"/>
      <x:c r="F11" s="26" t="str"/>
      <x:c r="G11" s="28" t="str"/>
      <x:c r="H11" s="28" t="str"/>
      <x:c r="I11" s="28" t="str"/>
      <x:c r="J11" s="30" t="str"/>
      <x:c r="K11" s="30" t="str"/>
      <x:c r="L11" s="30" t="str"/>
      <x:c r="M11" s="26" t="str"/>
      <x:c r="N11" s="26" t="str"/>
      <x:c r="O11" s="26" t="str"/>
      <x:c r="P11" s="26" t="str"/>
      <x:c r="Q11" s="26" t="str"/>
      <x:c r="R11" s="26" t="str"/>
      <x:c r="S11" s="26" t="str"/>
      <x:c r="T11" s="26" t="str"/>
      <x:c r="U11" s="26" t="str"/>
      <x:c r="V11" s="26" t="str"/>
      <x:c r="W11" s="26" t="str"/>
      <x:c r="X11" s="26" t="str"/>
      <x:c r="Y11" s="26" t="str"/>
      <x:c r="Z11" s="26" t="str"/>
      <x:c r="AA11" s="26" t="str"/>
      <x:c r="AB11" s="26" t="str"/>
      <x:c r="AC11" s="26" t="str"/>
      <x:c r="AD11" s="26" t="str"/>
      <x:c r="AE11" s="32" t="str">
        <x:f>IF(OR(G11="",H11=""),"",G11*12*H11/60)</x:f>
      </x:c>
      <x:c r="AF11" s="32" t="str">
        <x:f>IF(AE11="","",AE11*I11)</x:f>
      </x:c>
      <x:c r="AG11" s="34" t="str">
        <x:f>IF(A11="","",ROUND((MIN(5,AE11/1000)*25+MIN(5,AF11/100000)*25+R11*15+S11*10+T11*10+U11*10+V11*5)/5,1))</x:f>
      </x:c>
      <x:c r="AH11" s="34" t="str">
        <x:f>IF(A11="","",ROUND(((K11*5)+(L11*5)+IF(M11="Strong",25,IF(M11="Partial",15,5))+IF(N11="Stable",20,IF(N11="Mixed",12,5))+O11*5+P11*5+Q11*5-W11*2)/5,1))</x:f>
      </x:c>
      <x:c r="AI11" s="34" t="str">
        <x:f>IF(A11="","",ROUND((AA11*25+AB11*25+AC11*25+AD11*25)/5,1))</x:f>
      </x:c>
      <x:c r="AJ11" s="34" t="str">
        <x:f>IF(A11="","",ROUND((X11*30+Y11*30+Z11*25+AD11*15)/5,1))</x:f>
      </x:c>
      <x:c r="AK11" s="34" t="str">
        <x:f>IF(A11="","",ROUND(AG11*'Scoring Model'!$B$5+AH11*'Scoring Model'!$B$6+(100-AI11)*'Scoring Model'!$B$7+(100-AJ11)*'Scoring Model'!$B$8,1))</x:f>
      </x:c>
      <x:c r="AL11" s="16" t="str">
        <x:f>IF(A11="","",IF(OR(AA11=5,AB11=5,AC11=5),"Pilot with Controls",IF(AK11&gt;=75,"Do Now",IF(AK11&gt;=60,"Pilot with Controls",IF(AK11&gt;=45,"Prepare / Remediate","Defer")))))</x:f>
      </x:c>
      <x:c r="AM11" s="16" t="str">
        <x:f>IF(A11="","",IF(OR(AA11=5,AB11=5,AC11=5),"Enhanced risk, testing, human oversight and approval required",IF(AJ11&gt;=70,"Resolve architecture / vendor dependencies before commitment","Standard lifecycle controls")))</x:f>
      </x:c>
      <x:c r="AN11" s="16"/>
      <x:c r="AO11" s="36"/>
      <x:c r="AP11" s="16" t="str">
        <x:f>IF(A11="","","Draft")</x:f>
      </x:c>
    </x:row>
    <x:row r="12">
      <x:c r="A12" s="26" t="str"/>
      <x:c r="B12" s="26" t="str"/>
      <x:c r="C12" s="26" t="str"/>
      <x:c r="D12" s="26" t="str"/>
      <x:c r="E12" s="26" t="str"/>
      <x:c r="F12" s="26" t="str"/>
      <x:c r="G12" s="28" t="str"/>
      <x:c r="H12" s="28" t="str"/>
      <x:c r="I12" s="28" t="str"/>
      <x:c r="J12" s="30" t="str"/>
      <x:c r="K12" s="30" t="str"/>
      <x:c r="L12" s="30" t="str"/>
      <x:c r="M12" s="26" t="str"/>
      <x:c r="N12" s="26" t="str"/>
      <x:c r="O12" s="26" t="str"/>
      <x:c r="P12" s="26" t="str"/>
      <x:c r="Q12" s="26" t="str"/>
      <x:c r="R12" s="26" t="str"/>
      <x:c r="S12" s="26" t="str"/>
      <x:c r="T12" s="26" t="str"/>
      <x:c r="U12" s="26" t="str"/>
      <x:c r="V12" s="26" t="str"/>
      <x:c r="W12" s="26" t="str"/>
      <x:c r="X12" s="26" t="str"/>
      <x:c r="Y12" s="26" t="str"/>
      <x:c r="Z12" s="26" t="str"/>
      <x:c r="AA12" s="26" t="str"/>
      <x:c r="AB12" s="26" t="str"/>
      <x:c r="AC12" s="26" t="str"/>
      <x:c r="AD12" s="26" t="str"/>
      <x:c r="AE12" s="32" t="str">
        <x:f>IF(OR(G12="",H12=""),"",G12*12*H12/60)</x:f>
      </x:c>
      <x:c r="AF12" s="32" t="str">
        <x:f>IF(AE12="","",AE12*I12)</x:f>
      </x:c>
      <x:c r="AG12" s="34" t="str">
        <x:f>IF(A12="","",ROUND((MIN(5,AE12/1000)*25+MIN(5,AF12/100000)*25+R12*15+S12*10+T12*10+U12*10+V12*5)/5,1))</x:f>
      </x:c>
      <x:c r="AH12" s="34" t="str">
        <x:f>IF(A12="","",ROUND(((K12*5)+(L12*5)+IF(M12="Strong",25,IF(M12="Partial",15,5))+IF(N12="Stable",20,IF(N12="Mixed",12,5))+O12*5+P12*5+Q12*5-W12*2)/5,1))</x:f>
      </x:c>
      <x:c r="AI12" s="34" t="str">
        <x:f>IF(A12="","",ROUND((AA12*25+AB12*25+AC12*25+AD12*25)/5,1))</x:f>
      </x:c>
      <x:c r="AJ12" s="34" t="str">
        <x:f>IF(A12="","",ROUND((X12*30+Y12*30+Z12*25+AD12*15)/5,1))</x:f>
      </x:c>
      <x:c r="AK12" s="34" t="str">
        <x:f>IF(A12="","",ROUND(AG12*'Scoring Model'!$B$5+AH12*'Scoring Model'!$B$6+(100-AI12)*'Scoring Model'!$B$7+(100-AJ12)*'Scoring Model'!$B$8,1))</x:f>
      </x:c>
      <x:c r="AL12" s="16" t="str">
        <x:f>IF(A12="","",IF(OR(AA12=5,AB12=5,AC12=5),"Pilot with Controls",IF(AK12&gt;=75,"Do Now",IF(AK12&gt;=60,"Pilot with Controls",IF(AK12&gt;=45,"Prepare / Remediate","Defer")))))</x:f>
      </x:c>
      <x:c r="AM12" s="16" t="str">
        <x:f>IF(A12="","",IF(OR(AA12=5,AB12=5,AC12=5),"Enhanced risk, testing, human oversight and approval required",IF(AJ12&gt;=70,"Resolve architecture / vendor dependencies before commitment","Standard lifecycle controls")))</x:f>
      </x:c>
      <x:c r="AN12" s="16"/>
      <x:c r="AO12" s="36"/>
      <x:c r="AP12" s="16" t="str">
        <x:f>IF(A12="","","Draft")</x:f>
      </x:c>
    </x:row>
    <x:row r="13">
      <x:c r="A13" s="26" t="str"/>
      <x:c r="B13" s="26" t="str"/>
      <x:c r="C13" s="26" t="str"/>
      <x:c r="D13" s="26" t="str"/>
      <x:c r="E13" s="26" t="str"/>
      <x:c r="F13" s="26" t="str"/>
      <x:c r="G13" s="28" t="str"/>
      <x:c r="H13" s="28" t="str"/>
      <x:c r="I13" s="28" t="str"/>
      <x:c r="J13" s="30" t="str"/>
      <x:c r="K13" s="30" t="str"/>
      <x:c r="L13" s="30" t="str"/>
      <x:c r="M13" s="26" t="str"/>
      <x:c r="N13" s="26" t="str"/>
      <x:c r="O13" s="26" t="str"/>
      <x:c r="P13" s="26" t="str"/>
      <x:c r="Q13" s="26" t="str"/>
      <x:c r="R13" s="26" t="str"/>
      <x:c r="S13" s="26" t="str"/>
      <x:c r="T13" s="26" t="str"/>
      <x:c r="U13" s="26" t="str"/>
      <x:c r="V13" s="26" t="str"/>
      <x:c r="W13" s="26" t="str"/>
      <x:c r="X13" s="26" t="str"/>
      <x:c r="Y13" s="26" t="str"/>
      <x:c r="Z13" s="26" t="str"/>
      <x:c r="AA13" s="26" t="str"/>
      <x:c r="AB13" s="26" t="str"/>
      <x:c r="AC13" s="26" t="str"/>
      <x:c r="AD13" s="26" t="str"/>
      <x:c r="AE13" s="32" t="str">
        <x:f>IF(OR(G13="",H13=""),"",G13*12*H13/60)</x:f>
      </x:c>
      <x:c r="AF13" s="32" t="str">
        <x:f>IF(AE13="","",AE13*I13)</x:f>
      </x:c>
      <x:c r="AG13" s="34" t="str">
        <x:f>IF(A13="","",ROUND((MIN(5,AE13/1000)*25+MIN(5,AF13/100000)*25+R13*15+S13*10+T13*10+U13*10+V13*5)/5,1))</x:f>
      </x:c>
      <x:c r="AH13" s="34" t="str">
        <x:f>IF(A13="","",ROUND(((K13*5)+(L13*5)+IF(M13="Strong",25,IF(M13="Partial",15,5))+IF(N13="Stable",20,IF(N13="Mixed",12,5))+O13*5+P13*5+Q13*5-W13*2)/5,1))</x:f>
      </x:c>
      <x:c r="AI13" s="34" t="str">
        <x:f>IF(A13="","",ROUND((AA13*25+AB13*25+AC13*25+AD13*25)/5,1))</x:f>
      </x:c>
      <x:c r="AJ13" s="34" t="str">
        <x:f>IF(A13="","",ROUND((X13*30+Y13*30+Z13*25+AD13*15)/5,1))</x:f>
      </x:c>
      <x:c r="AK13" s="34" t="str">
        <x:f>IF(A13="","",ROUND(AG13*'Scoring Model'!$B$5+AH13*'Scoring Model'!$B$6+(100-AI13)*'Scoring Model'!$B$7+(100-AJ13)*'Scoring Model'!$B$8,1))</x:f>
      </x:c>
      <x:c r="AL13" s="16" t="str">
        <x:f>IF(A13="","",IF(OR(AA13=5,AB13=5,AC13=5),"Pilot with Controls",IF(AK13&gt;=75,"Do Now",IF(AK13&gt;=60,"Pilot with Controls",IF(AK13&gt;=45,"Prepare / Remediate","Defer")))))</x:f>
      </x:c>
      <x:c r="AM13" s="16" t="str">
        <x:f>IF(A13="","",IF(OR(AA13=5,AB13=5,AC13=5),"Enhanced risk, testing, human oversight and approval required",IF(AJ13&gt;=70,"Resolve architecture / vendor dependencies before commitment","Standard lifecycle controls")))</x:f>
      </x:c>
      <x:c r="AN13" s="16"/>
      <x:c r="AO13" s="36"/>
      <x:c r="AP13" s="16" t="str">
        <x:f>IF(A13="","","Draft")</x:f>
      </x:c>
    </x:row>
    <x:row r="14">
      <x:c r="A14" s="26" t="str"/>
      <x:c r="B14" s="26" t="str"/>
      <x:c r="C14" s="26" t="str"/>
      <x:c r="D14" s="26" t="str"/>
      <x:c r="E14" s="26" t="str"/>
      <x:c r="F14" s="26" t="str"/>
      <x:c r="G14" s="28" t="str"/>
      <x:c r="H14" s="28" t="str"/>
      <x:c r="I14" s="28" t="str"/>
      <x:c r="J14" s="30" t="str"/>
      <x:c r="K14" s="30" t="str"/>
      <x:c r="L14" s="30" t="str"/>
      <x:c r="M14" s="26" t="str"/>
      <x:c r="N14" s="26" t="str"/>
      <x:c r="O14" s="26" t="str"/>
      <x:c r="P14" s="26" t="str"/>
      <x:c r="Q14" s="26" t="str"/>
      <x:c r="R14" s="26" t="str"/>
      <x:c r="S14" s="26" t="str"/>
      <x:c r="T14" s="26" t="str"/>
      <x:c r="U14" s="26" t="str"/>
      <x:c r="V14" s="26" t="str"/>
      <x:c r="W14" s="26" t="str"/>
      <x:c r="X14" s="26" t="str"/>
      <x:c r="Y14" s="26" t="str"/>
      <x:c r="Z14" s="26" t="str"/>
      <x:c r="AA14" s="26" t="str"/>
      <x:c r="AB14" s="26" t="str"/>
      <x:c r="AC14" s="26" t="str"/>
      <x:c r="AD14" s="26" t="str"/>
      <x:c r="AE14" s="32" t="str">
        <x:f>IF(OR(G14="",H14=""),"",G14*12*H14/60)</x:f>
      </x:c>
      <x:c r="AF14" s="32" t="str">
        <x:f>IF(AE14="","",AE14*I14)</x:f>
      </x:c>
      <x:c r="AG14" s="34" t="str">
        <x:f>IF(A14="","",ROUND((MIN(5,AE14/1000)*25+MIN(5,AF14/100000)*25+R14*15+S14*10+T14*10+U14*10+V14*5)/5,1))</x:f>
      </x:c>
      <x:c r="AH14" s="34" t="str">
        <x:f>IF(A14="","",ROUND(((K14*5)+(L14*5)+IF(M14="Strong",25,IF(M14="Partial",15,5))+IF(N14="Stable",20,IF(N14="Mixed",12,5))+O14*5+P14*5+Q14*5-W14*2)/5,1))</x:f>
      </x:c>
      <x:c r="AI14" s="34" t="str">
        <x:f>IF(A14="","",ROUND((AA14*25+AB14*25+AC14*25+AD14*25)/5,1))</x:f>
      </x:c>
      <x:c r="AJ14" s="34" t="str">
        <x:f>IF(A14="","",ROUND((X14*30+Y14*30+Z14*25+AD14*15)/5,1))</x:f>
      </x:c>
      <x:c r="AK14" s="34" t="str">
        <x:f>IF(A14="","",ROUND(AG14*'Scoring Model'!$B$5+AH14*'Scoring Model'!$B$6+(100-AI14)*'Scoring Model'!$B$7+(100-AJ14)*'Scoring Model'!$B$8,1))</x:f>
      </x:c>
      <x:c r="AL14" s="16" t="str">
        <x:f>IF(A14="","",IF(OR(AA14=5,AB14=5,AC14=5),"Pilot with Controls",IF(AK14&gt;=75,"Do Now",IF(AK14&gt;=60,"Pilot with Controls",IF(AK14&gt;=45,"Prepare / Remediate","Defer")))))</x:f>
      </x:c>
      <x:c r="AM14" s="16" t="str">
        <x:f>IF(A14="","",IF(OR(AA14=5,AB14=5,AC14=5),"Enhanced risk, testing, human oversight and approval required",IF(AJ14&gt;=70,"Resolve architecture / vendor dependencies before commitment","Standard lifecycle controls")))</x:f>
      </x:c>
      <x:c r="AN14" s="16"/>
      <x:c r="AO14" s="36"/>
      <x:c r="AP14" s="16" t="str">
        <x:f>IF(A14="","","Draft")</x:f>
      </x:c>
    </x:row>
    <x:row r="15">
      <x:c r="A15" s="26" t="str"/>
      <x:c r="B15" s="26" t="str"/>
      <x:c r="C15" s="26" t="str"/>
      <x:c r="D15" s="26" t="str"/>
      <x:c r="E15" s="26" t="str"/>
      <x:c r="F15" s="26" t="str"/>
      <x:c r="G15" s="28" t="str"/>
      <x:c r="H15" s="28" t="str"/>
      <x:c r="I15" s="28" t="str"/>
      <x:c r="J15" s="30" t="str"/>
      <x:c r="K15" s="30" t="str"/>
      <x:c r="L15" s="30" t="str"/>
      <x:c r="M15" s="26" t="str"/>
      <x:c r="N15" s="26" t="str"/>
      <x:c r="O15" s="26" t="str"/>
      <x:c r="P15" s="26" t="str"/>
      <x:c r="Q15" s="26" t="str"/>
      <x:c r="R15" s="26" t="str"/>
      <x:c r="S15" s="26" t="str"/>
      <x:c r="T15" s="26" t="str"/>
      <x:c r="U15" s="26" t="str"/>
      <x:c r="V15" s="26" t="str"/>
      <x:c r="W15" s="26" t="str"/>
      <x:c r="X15" s="26" t="str"/>
      <x:c r="Y15" s="26" t="str"/>
      <x:c r="Z15" s="26" t="str"/>
      <x:c r="AA15" s="26" t="str"/>
      <x:c r="AB15" s="26" t="str"/>
      <x:c r="AC15" s="26" t="str"/>
      <x:c r="AD15" s="26" t="str"/>
      <x:c r="AE15" s="32" t="str">
        <x:f>IF(OR(G15="",H15=""),"",G15*12*H15/60)</x:f>
      </x:c>
      <x:c r="AF15" s="32" t="str">
        <x:f>IF(AE15="","",AE15*I15)</x:f>
      </x:c>
      <x:c r="AG15" s="34" t="str">
        <x:f>IF(A15="","",ROUND((MIN(5,AE15/1000)*25+MIN(5,AF15/100000)*25+R15*15+S15*10+T15*10+U15*10+V15*5)/5,1))</x:f>
      </x:c>
      <x:c r="AH15" s="34" t="str">
        <x:f>IF(A15="","",ROUND(((K15*5)+(L15*5)+IF(M15="Strong",25,IF(M15="Partial",15,5))+IF(N15="Stable",20,IF(N15="Mixed",12,5))+O15*5+P15*5+Q15*5-W15*2)/5,1))</x:f>
      </x:c>
      <x:c r="AI15" s="34" t="str">
        <x:f>IF(A15="","",ROUND((AA15*25+AB15*25+AC15*25+AD15*25)/5,1))</x:f>
      </x:c>
      <x:c r="AJ15" s="34" t="str">
        <x:f>IF(A15="","",ROUND((X15*30+Y15*30+Z15*25+AD15*15)/5,1))</x:f>
      </x:c>
      <x:c r="AK15" s="34" t="str">
        <x:f>IF(A15="","",ROUND(AG15*'Scoring Model'!$B$5+AH15*'Scoring Model'!$B$6+(100-AI15)*'Scoring Model'!$B$7+(100-AJ15)*'Scoring Model'!$B$8,1))</x:f>
      </x:c>
      <x:c r="AL15" s="16" t="str">
        <x:f>IF(A15="","",IF(OR(AA15=5,AB15=5,AC15=5),"Pilot with Controls",IF(AK15&gt;=75,"Do Now",IF(AK15&gt;=60,"Pilot with Controls",IF(AK15&gt;=45,"Prepare / Remediate","Defer")))))</x:f>
      </x:c>
      <x:c r="AM15" s="16" t="str">
        <x:f>IF(A15="","",IF(OR(AA15=5,AB15=5,AC15=5),"Enhanced risk, testing, human oversight and approval required",IF(AJ15&gt;=70,"Resolve architecture / vendor dependencies before commitment","Standard lifecycle controls")))</x:f>
      </x:c>
      <x:c r="AN15" s="16"/>
      <x:c r="AO15" s="36"/>
      <x:c r="AP15" s="16" t="str">
        <x:f>IF(A15="","","Draft")</x:f>
      </x:c>
    </x:row>
    <x:row r="16">
      <x:c r="A16" s="26" t="str"/>
      <x:c r="B16" s="26" t="str"/>
      <x:c r="C16" s="26" t="str"/>
      <x:c r="D16" s="26" t="str"/>
      <x:c r="E16" s="26" t="str"/>
      <x:c r="F16" s="26" t="str"/>
      <x:c r="G16" s="28" t="str"/>
      <x:c r="H16" s="28" t="str"/>
      <x:c r="I16" s="28" t="str"/>
      <x:c r="J16" s="30" t="str"/>
      <x:c r="K16" s="30" t="str"/>
      <x:c r="L16" s="30" t="str"/>
      <x:c r="M16" s="26" t="str"/>
      <x:c r="N16" s="26" t="str"/>
      <x:c r="O16" s="26" t="str"/>
      <x:c r="P16" s="26" t="str"/>
      <x:c r="Q16" s="26" t="str"/>
      <x:c r="R16" s="26" t="str"/>
      <x:c r="S16" s="26" t="str"/>
      <x:c r="T16" s="26" t="str"/>
      <x:c r="U16" s="26" t="str"/>
      <x:c r="V16" s="26" t="str"/>
      <x:c r="W16" s="26" t="str"/>
      <x:c r="X16" s="26" t="str"/>
      <x:c r="Y16" s="26" t="str"/>
      <x:c r="Z16" s="26" t="str"/>
      <x:c r="AA16" s="26" t="str"/>
      <x:c r="AB16" s="26" t="str"/>
      <x:c r="AC16" s="26" t="str"/>
      <x:c r="AD16" s="26" t="str"/>
      <x:c r="AE16" s="32" t="str">
        <x:f>IF(OR(G16="",H16=""),"",G16*12*H16/60)</x:f>
      </x:c>
      <x:c r="AF16" s="32" t="str">
        <x:f>IF(AE16="","",AE16*I16)</x:f>
      </x:c>
      <x:c r="AG16" s="34" t="str">
        <x:f>IF(A16="","",ROUND((MIN(5,AE16/1000)*25+MIN(5,AF16/100000)*25+R16*15+S16*10+T16*10+U16*10+V16*5)/5,1))</x:f>
      </x:c>
      <x:c r="AH16" s="34" t="str">
        <x:f>IF(A16="","",ROUND(((K16*5)+(L16*5)+IF(M16="Strong",25,IF(M16="Partial",15,5))+IF(N16="Stable",20,IF(N16="Mixed",12,5))+O16*5+P16*5+Q16*5-W16*2)/5,1))</x:f>
      </x:c>
      <x:c r="AI16" s="34" t="str">
        <x:f>IF(A16="","",ROUND((AA16*25+AB16*25+AC16*25+AD16*25)/5,1))</x:f>
      </x:c>
      <x:c r="AJ16" s="34" t="str">
        <x:f>IF(A16="","",ROUND((X16*30+Y16*30+Z16*25+AD16*15)/5,1))</x:f>
      </x:c>
      <x:c r="AK16" s="34" t="str">
        <x:f>IF(A16="","",ROUND(AG16*'Scoring Model'!$B$5+AH16*'Scoring Model'!$B$6+(100-AI16)*'Scoring Model'!$B$7+(100-AJ16)*'Scoring Model'!$B$8,1))</x:f>
      </x:c>
      <x:c r="AL16" s="16" t="str">
        <x:f>IF(A16="","",IF(OR(AA16=5,AB16=5,AC16=5),"Pilot with Controls",IF(AK16&gt;=75,"Do Now",IF(AK16&gt;=60,"Pilot with Controls",IF(AK16&gt;=45,"Prepare / Remediate","Defer")))))</x:f>
      </x:c>
      <x:c r="AM16" s="16" t="str">
        <x:f>IF(A16="","",IF(OR(AA16=5,AB16=5,AC16=5),"Enhanced risk, testing, human oversight and approval required",IF(AJ16&gt;=70,"Resolve architecture / vendor dependencies before commitment","Standard lifecycle controls")))</x:f>
      </x:c>
      <x:c r="AN16" s="16"/>
      <x:c r="AO16" s="36"/>
      <x:c r="AP16" s="16" t="str">
        <x:f>IF(A16="","","Draft")</x:f>
      </x:c>
    </x:row>
    <x:row r="17">
      <x:c r="A17" s="26" t="str"/>
      <x:c r="B17" s="26" t="str"/>
      <x:c r="C17" s="26" t="str"/>
      <x:c r="D17" s="26" t="str"/>
      <x:c r="E17" s="26" t="str"/>
      <x:c r="F17" s="26" t="str"/>
      <x:c r="G17" s="28" t="str"/>
      <x:c r="H17" s="28" t="str"/>
      <x:c r="I17" s="28" t="str"/>
      <x:c r="J17" s="30" t="str"/>
      <x:c r="K17" s="30" t="str"/>
      <x:c r="L17" s="30" t="str"/>
      <x:c r="M17" s="26" t="str"/>
      <x:c r="N17" s="26" t="str"/>
      <x:c r="O17" s="26" t="str"/>
      <x:c r="P17" s="26" t="str"/>
      <x:c r="Q17" s="26" t="str"/>
      <x:c r="R17" s="26" t="str"/>
      <x:c r="S17" s="26" t="str"/>
      <x:c r="T17" s="26" t="str"/>
      <x:c r="U17" s="26" t="str"/>
      <x:c r="V17" s="26" t="str"/>
      <x:c r="W17" s="26" t="str"/>
      <x:c r="X17" s="26" t="str"/>
      <x:c r="Y17" s="26" t="str"/>
      <x:c r="Z17" s="26" t="str"/>
      <x:c r="AA17" s="26" t="str"/>
      <x:c r="AB17" s="26" t="str"/>
      <x:c r="AC17" s="26" t="str"/>
      <x:c r="AD17" s="26" t="str"/>
      <x:c r="AE17" s="32" t="str">
        <x:f>IF(OR(G17="",H17=""),"",G17*12*H17/60)</x:f>
      </x:c>
      <x:c r="AF17" s="32" t="str">
        <x:f>IF(AE17="","",AE17*I17)</x:f>
      </x:c>
      <x:c r="AG17" s="34" t="str">
        <x:f>IF(A17="","",ROUND((MIN(5,AE17/1000)*25+MIN(5,AF17/100000)*25+R17*15+S17*10+T17*10+U17*10+V17*5)/5,1))</x:f>
      </x:c>
      <x:c r="AH17" s="34" t="str">
        <x:f>IF(A17="","",ROUND(((K17*5)+(L17*5)+IF(M17="Strong",25,IF(M17="Partial",15,5))+IF(N17="Stable",20,IF(N17="Mixed",12,5))+O17*5+P17*5+Q17*5-W17*2)/5,1))</x:f>
      </x:c>
      <x:c r="AI17" s="34" t="str">
        <x:f>IF(A17="","",ROUND((AA17*25+AB17*25+AC17*25+AD17*25)/5,1))</x:f>
      </x:c>
      <x:c r="AJ17" s="34" t="str">
        <x:f>IF(A17="","",ROUND((X17*30+Y17*30+Z17*25+AD17*15)/5,1))</x:f>
      </x:c>
      <x:c r="AK17" s="34" t="str">
        <x:f>IF(A17="","",ROUND(AG17*'Scoring Model'!$B$5+AH17*'Scoring Model'!$B$6+(100-AI17)*'Scoring Model'!$B$7+(100-AJ17)*'Scoring Model'!$B$8,1))</x:f>
      </x:c>
      <x:c r="AL17" s="16" t="str">
        <x:f>IF(A17="","",IF(OR(AA17=5,AB17=5,AC17=5),"Pilot with Controls",IF(AK17&gt;=75,"Do Now",IF(AK17&gt;=60,"Pilot with Controls",IF(AK17&gt;=45,"Prepare / Remediate","Defer")))))</x:f>
      </x:c>
      <x:c r="AM17" s="16" t="str">
        <x:f>IF(A17="","",IF(OR(AA17=5,AB17=5,AC17=5),"Enhanced risk, testing, human oversight and approval required",IF(AJ17&gt;=70,"Resolve architecture / vendor dependencies before commitment","Standard lifecycle controls")))</x:f>
      </x:c>
      <x:c r="AN17" s="16"/>
      <x:c r="AO17" s="36"/>
      <x:c r="AP17" s="16" t="str">
        <x:f>IF(A17="","","Draft")</x:f>
      </x:c>
    </x:row>
    <x:row r="18">
      <x:c r="A18" s="26" t="str"/>
      <x:c r="B18" s="26" t="str"/>
      <x:c r="C18" s="26" t="str"/>
      <x:c r="D18" s="26" t="str"/>
      <x:c r="E18" s="26" t="str"/>
      <x:c r="F18" s="26" t="str"/>
      <x:c r="G18" s="28" t="str"/>
      <x:c r="H18" s="28" t="str"/>
      <x:c r="I18" s="28" t="str"/>
      <x:c r="J18" s="30" t="str"/>
      <x:c r="K18" s="30" t="str"/>
      <x:c r="L18" s="30" t="str"/>
      <x:c r="M18" s="26" t="str"/>
      <x:c r="N18" s="26" t="str"/>
      <x:c r="O18" s="26" t="str"/>
      <x:c r="P18" s="26" t="str"/>
      <x:c r="Q18" s="26" t="str"/>
      <x:c r="R18" s="26" t="str"/>
      <x:c r="S18" s="26" t="str"/>
      <x:c r="T18" s="26" t="str"/>
      <x:c r="U18" s="26" t="str"/>
      <x:c r="V18" s="26" t="str"/>
      <x:c r="W18" s="26" t="str"/>
      <x:c r="X18" s="26" t="str"/>
      <x:c r="Y18" s="26" t="str"/>
      <x:c r="Z18" s="26" t="str"/>
      <x:c r="AA18" s="26" t="str"/>
      <x:c r="AB18" s="26" t="str"/>
      <x:c r="AC18" s="26" t="str"/>
      <x:c r="AD18" s="26" t="str"/>
      <x:c r="AE18" s="32" t="str">
        <x:f>IF(OR(G18="",H18=""),"",G18*12*H18/60)</x:f>
      </x:c>
      <x:c r="AF18" s="32" t="str">
        <x:f>IF(AE18="","",AE18*I18)</x:f>
      </x:c>
      <x:c r="AG18" s="34" t="str">
        <x:f>IF(A18="","",ROUND((MIN(5,AE18/1000)*25+MIN(5,AF18/100000)*25+R18*15+S18*10+T18*10+U18*10+V18*5)/5,1))</x:f>
      </x:c>
      <x:c r="AH18" s="34" t="str">
        <x:f>IF(A18="","",ROUND(((K18*5)+(L18*5)+IF(M18="Strong",25,IF(M18="Partial",15,5))+IF(N18="Stable",20,IF(N18="Mixed",12,5))+O18*5+P18*5+Q18*5-W18*2)/5,1))</x:f>
      </x:c>
      <x:c r="AI18" s="34" t="str">
        <x:f>IF(A18="","",ROUND((AA18*25+AB18*25+AC18*25+AD18*25)/5,1))</x:f>
      </x:c>
      <x:c r="AJ18" s="34" t="str">
        <x:f>IF(A18="","",ROUND((X18*30+Y18*30+Z18*25+AD18*15)/5,1))</x:f>
      </x:c>
      <x:c r="AK18" s="34" t="str">
        <x:f>IF(A18="","",ROUND(AG18*'Scoring Model'!$B$5+AH18*'Scoring Model'!$B$6+(100-AI18)*'Scoring Model'!$B$7+(100-AJ18)*'Scoring Model'!$B$8,1))</x:f>
      </x:c>
      <x:c r="AL18" s="16" t="str">
        <x:f>IF(A18="","",IF(OR(AA18=5,AB18=5,AC18=5),"Pilot with Controls",IF(AK18&gt;=75,"Do Now",IF(AK18&gt;=60,"Pilot with Controls",IF(AK18&gt;=45,"Prepare / Remediate","Defer")))))</x:f>
      </x:c>
      <x:c r="AM18" s="16" t="str">
        <x:f>IF(A18="","",IF(OR(AA18=5,AB18=5,AC18=5),"Enhanced risk, testing, human oversight and approval required",IF(AJ18&gt;=70,"Resolve architecture / vendor dependencies before commitment","Standard lifecycle controls")))</x:f>
      </x:c>
      <x:c r="AN18" s="16"/>
      <x:c r="AO18" s="36"/>
      <x:c r="AP18" s="16" t="str">
        <x:f>IF(A18="","","Draft")</x:f>
      </x:c>
    </x:row>
    <x:row r="19">
      <x:c r="A19" s="26" t="str"/>
      <x:c r="B19" s="26" t="str"/>
      <x:c r="C19" s="26" t="str"/>
      <x:c r="D19" s="26" t="str"/>
      <x:c r="E19" s="26" t="str"/>
      <x:c r="F19" s="26" t="str"/>
      <x:c r="G19" s="28" t="str"/>
      <x:c r="H19" s="28" t="str"/>
      <x:c r="I19" s="28" t="str"/>
      <x:c r="J19" s="30" t="str"/>
      <x:c r="K19" s="30" t="str"/>
      <x:c r="L19" s="30" t="str"/>
      <x:c r="M19" s="26" t="str"/>
      <x:c r="N19" s="26" t="str"/>
      <x:c r="O19" s="26" t="str"/>
      <x:c r="P19" s="26" t="str"/>
      <x:c r="Q19" s="26" t="str"/>
      <x:c r="R19" s="26" t="str"/>
      <x:c r="S19" s="26" t="str"/>
      <x:c r="T19" s="26" t="str"/>
      <x:c r="U19" s="26" t="str"/>
      <x:c r="V19" s="26" t="str"/>
      <x:c r="W19" s="26" t="str"/>
      <x:c r="X19" s="26" t="str"/>
      <x:c r="Y19" s="26" t="str"/>
      <x:c r="Z19" s="26" t="str"/>
      <x:c r="AA19" s="26" t="str"/>
      <x:c r="AB19" s="26" t="str"/>
      <x:c r="AC19" s="26" t="str"/>
      <x:c r="AD19" s="26" t="str"/>
      <x:c r="AE19" s="32" t="str">
        <x:f>IF(OR(G19="",H19=""),"",G19*12*H19/60)</x:f>
      </x:c>
      <x:c r="AF19" s="32" t="str">
        <x:f>IF(AE19="","",AE19*I19)</x:f>
      </x:c>
      <x:c r="AG19" s="34" t="str">
        <x:f>IF(A19="","",ROUND((MIN(5,AE19/1000)*25+MIN(5,AF19/100000)*25+R19*15+S19*10+T19*10+U19*10+V19*5)/5,1))</x:f>
      </x:c>
      <x:c r="AH19" s="34" t="str">
        <x:f>IF(A19="","",ROUND(((K19*5)+(L19*5)+IF(M19="Strong",25,IF(M19="Partial",15,5))+IF(N19="Stable",20,IF(N19="Mixed",12,5))+O19*5+P19*5+Q19*5-W19*2)/5,1))</x:f>
      </x:c>
      <x:c r="AI19" s="34" t="str">
        <x:f>IF(A19="","",ROUND((AA19*25+AB19*25+AC19*25+AD19*25)/5,1))</x:f>
      </x:c>
      <x:c r="AJ19" s="34" t="str">
        <x:f>IF(A19="","",ROUND((X19*30+Y19*30+Z19*25+AD19*15)/5,1))</x:f>
      </x:c>
      <x:c r="AK19" s="34" t="str">
        <x:f>IF(A19="","",ROUND(AG19*'Scoring Model'!$B$5+AH19*'Scoring Model'!$B$6+(100-AI19)*'Scoring Model'!$B$7+(100-AJ19)*'Scoring Model'!$B$8,1))</x:f>
      </x:c>
      <x:c r="AL19" s="16" t="str">
        <x:f>IF(A19="","",IF(OR(AA19=5,AB19=5,AC19=5),"Pilot with Controls",IF(AK19&gt;=75,"Do Now",IF(AK19&gt;=60,"Pilot with Controls",IF(AK19&gt;=45,"Prepare / Remediate","Defer")))))</x:f>
      </x:c>
      <x:c r="AM19" s="16" t="str">
        <x:f>IF(A19="","",IF(OR(AA19=5,AB19=5,AC19=5),"Enhanced risk, testing, human oversight and approval required",IF(AJ19&gt;=70,"Resolve architecture / vendor dependencies before commitment","Standard lifecycle controls")))</x:f>
      </x:c>
      <x:c r="AN19" s="16"/>
      <x:c r="AO19" s="36"/>
      <x:c r="AP19" s="16" t="str">
        <x:f>IF(A19="","","Draft")</x:f>
      </x:c>
    </x:row>
    <x:row r="20">
      <x:c r="A20" s="26" t="str"/>
      <x:c r="B20" s="26" t="str"/>
      <x:c r="C20" s="26" t="str"/>
      <x:c r="D20" s="26" t="str"/>
      <x:c r="E20" s="26" t="str"/>
      <x:c r="F20" s="26" t="str"/>
      <x:c r="G20" s="28" t="str"/>
      <x:c r="H20" s="28" t="str"/>
      <x:c r="I20" s="28" t="str"/>
      <x:c r="J20" s="30" t="str"/>
      <x:c r="K20" s="30" t="str"/>
      <x:c r="L20" s="30" t="str"/>
      <x:c r="M20" s="26" t="str"/>
      <x:c r="N20" s="26" t="str"/>
      <x:c r="O20" s="26" t="str"/>
      <x:c r="P20" s="26" t="str"/>
      <x:c r="Q20" s="26" t="str"/>
      <x:c r="R20" s="26" t="str"/>
      <x:c r="S20" s="26" t="str"/>
      <x:c r="T20" s="26" t="str"/>
      <x:c r="U20" s="26" t="str"/>
      <x:c r="V20" s="26" t="str"/>
      <x:c r="W20" s="26" t="str"/>
      <x:c r="X20" s="26" t="str"/>
      <x:c r="Y20" s="26" t="str"/>
      <x:c r="Z20" s="26" t="str"/>
      <x:c r="AA20" s="26" t="str"/>
      <x:c r="AB20" s="26" t="str"/>
      <x:c r="AC20" s="26" t="str"/>
      <x:c r="AD20" s="26" t="str"/>
      <x:c r="AE20" s="32" t="str">
        <x:f>IF(OR(G20="",H20=""),"",G20*12*H20/60)</x:f>
      </x:c>
      <x:c r="AF20" s="32" t="str">
        <x:f>IF(AE20="","",AE20*I20)</x:f>
      </x:c>
      <x:c r="AG20" s="34" t="str">
        <x:f>IF(A20="","",ROUND((MIN(5,AE20/1000)*25+MIN(5,AF20/100000)*25+R20*15+S20*10+T20*10+U20*10+V20*5)/5,1))</x:f>
      </x:c>
      <x:c r="AH20" s="34" t="str">
        <x:f>IF(A20="","",ROUND(((K20*5)+(L20*5)+IF(M20="Strong",25,IF(M20="Partial",15,5))+IF(N20="Stable",20,IF(N20="Mixed",12,5))+O20*5+P20*5+Q20*5-W20*2)/5,1))</x:f>
      </x:c>
      <x:c r="AI20" s="34" t="str">
        <x:f>IF(A20="","",ROUND((AA20*25+AB20*25+AC20*25+AD20*25)/5,1))</x:f>
      </x:c>
      <x:c r="AJ20" s="34" t="str">
        <x:f>IF(A20="","",ROUND((X20*30+Y20*30+Z20*25+AD20*15)/5,1))</x:f>
      </x:c>
      <x:c r="AK20" s="34" t="str">
        <x:f>IF(A20="","",ROUND(AG20*'Scoring Model'!$B$5+AH20*'Scoring Model'!$B$6+(100-AI20)*'Scoring Model'!$B$7+(100-AJ20)*'Scoring Model'!$B$8,1))</x:f>
      </x:c>
      <x:c r="AL20" s="16" t="str">
        <x:f>IF(A20="","",IF(OR(AA20=5,AB20=5,AC20=5),"Pilot with Controls",IF(AK20&gt;=75,"Do Now",IF(AK20&gt;=60,"Pilot with Controls",IF(AK20&gt;=45,"Prepare / Remediate","Defer")))))</x:f>
      </x:c>
      <x:c r="AM20" s="16" t="str">
        <x:f>IF(A20="","",IF(OR(AA20=5,AB20=5,AC20=5),"Enhanced risk, testing, human oversight and approval required",IF(AJ20&gt;=70,"Resolve architecture / vendor dependencies before commitment","Standard lifecycle controls")))</x:f>
      </x:c>
      <x:c r="AN20" s="16"/>
      <x:c r="AO20" s="36"/>
      <x:c r="AP20" s="16" t="str">
        <x:f>IF(A20="","","Draft")</x:f>
      </x:c>
    </x:row>
    <x:row r="21">
      <x:c r="A21" s="26" t="str"/>
      <x:c r="B21" s="26" t="str"/>
      <x:c r="C21" s="26" t="str"/>
      <x:c r="D21" s="26" t="str"/>
      <x:c r="E21" s="26" t="str"/>
      <x:c r="F21" s="26" t="str"/>
      <x:c r="G21" s="28" t="str"/>
      <x:c r="H21" s="28" t="str"/>
      <x:c r="I21" s="28" t="str"/>
      <x:c r="J21" s="30" t="str"/>
      <x:c r="K21" s="30" t="str"/>
      <x:c r="L21" s="30" t="str"/>
      <x:c r="M21" s="26" t="str"/>
      <x:c r="N21" s="26" t="str"/>
      <x:c r="O21" s="26" t="str"/>
      <x:c r="P21" s="26" t="str"/>
      <x:c r="Q21" s="26" t="str"/>
      <x:c r="R21" s="26" t="str"/>
      <x:c r="S21" s="26" t="str"/>
      <x:c r="T21" s="26" t="str"/>
      <x:c r="U21" s="26" t="str"/>
      <x:c r="V21" s="26" t="str"/>
      <x:c r="W21" s="26" t="str"/>
      <x:c r="X21" s="26" t="str"/>
      <x:c r="Y21" s="26" t="str"/>
      <x:c r="Z21" s="26" t="str"/>
      <x:c r="AA21" s="26" t="str"/>
      <x:c r="AB21" s="26" t="str"/>
      <x:c r="AC21" s="26" t="str"/>
      <x:c r="AD21" s="26" t="str"/>
      <x:c r="AE21" s="32" t="str">
        <x:f>IF(OR(G21="",H21=""),"",G21*12*H21/60)</x:f>
      </x:c>
      <x:c r="AF21" s="32" t="str">
        <x:f>IF(AE21="","",AE21*I21)</x:f>
      </x:c>
      <x:c r="AG21" s="34" t="str">
        <x:f>IF(A21="","",ROUND((MIN(5,AE21/1000)*25+MIN(5,AF21/100000)*25+R21*15+S21*10+T21*10+U21*10+V21*5)/5,1))</x:f>
      </x:c>
      <x:c r="AH21" s="34" t="str">
        <x:f>IF(A21="","",ROUND(((K21*5)+(L21*5)+IF(M21="Strong",25,IF(M21="Partial",15,5))+IF(N21="Stable",20,IF(N21="Mixed",12,5))+O21*5+P21*5+Q21*5-W21*2)/5,1))</x:f>
      </x:c>
      <x:c r="AI21" s="34" t="str">
        <x:f>IF(A21="","",ROUND((AA21*25+AB21*25+AC21*25+AD21*25)/5,1))</x:f>
      </x:c>
      <x:c r="AJ21" s="34" t="str">
        <x:f>IF(A21="","",ROUND((X21*30+Y21*30+Z21*25+AD21*15)/5,1))</x:f>
      </x:c>
      <x:c r="AK21" s="34" t="str">
        <x:f>IF(A21="","",ROUND(AG21*'Scoring Model'!$B$5+AH21*'Scoring Model'!$B$6+(100-AI21)*'Scoring Model'!$B$7+(100-AJ21)*'Scoring Model'!$B$8,1))</x:f>
      </x:c>
      <x:c r="AL21" s="16" t="str">
        <x:f>IF(A21="","",IF(OR(AA21=5,AB21=5,AC21=5),"Pilot with Controls",IF(AK21&gt;=75,"Do Now",IF(AK21&gt;=60,"Pilot with Controls",IF(AK21&gt;=45,"Prepare / Remediate","Defer")))))</x:f>
      </x:c>
      <x:c r="AM21" s="16" t="str">
        <x:f>IF(A21="","",IF(OR(AA21=5,AB21=5,AC21=5),"Enhanced risk, testing, human oversight and approval required",IF(AJ21&gt;=70,"Resolve architecture / vendor dependencies before commitment","Standard lifecycle controls")))</x:f>
      </x:c>
      <x:c r="AN21" s="16"/>
      <x:c r="AO21" s="36"/>
      <x:c r="AP21" s="16" t="str">
        <x:f>IF(A21="","","Draft")</x:f>
      </x:c>
    </x:row>
    <x:row r="22">
      <x:c r="A22" s="26" t="str"/>
      <x:c r="B22" s="26" t="str"/>
      <x:c r="C22" s="26" t="str"/>
      <x:c r="D22" s="26" t="str"/>
      <x:c r="E22" s="26" t="str"/>
      <x:c r="F22" s="26" t="str"/>
      <x:c r="G22" s="28" t="str"/>
      <x:c r="H22" s="28" t="str"/>
      <x:c r="I22" s="28" t="str"/>
      <x:c r="J22" s="30" t="str"/>
      <x:c r="K22" s="30" t="str"/>
      <x:c r="L22" s="30" t="str"/>
      <x:c r="M22" s="26" t="str"/>
      <x:c r="N22" s="26" t="str"/>
      <x:c r="O22" s="26" t="str"/>
      <x:c r="P22" s="26" t="str"/>
      <x:c r="Q22" s="26" t="str"/>
      <x:c r="R22" s="26" t="str"/>
      <x:c r="S22" s="26" t="str"/>
      <x:c r="T22" s="26" t="str"/>
      <x:c r="U22" s="26" t="str"/>
      <x:c r="V22" s="26" t="str"/>
      <x:c r="W22" s="26" t="str"/>
      <x:c r="X22" s="26" t="str"/>
      <x:c r="Y22" s="26" t="str"/>
      <x:c r="Z22" s="26" t="str"/>
      <x:c r="AA22" s="26" t="str"/>
      <x:c r="AB22" s="26" t="str"/>
      <x:c r="AC22" s="26" t="str"/>
      <x:c r="AD22" s="26" t="str"/>
      <x:c r="AE22" s="32" t="str">
        <x:f>IF(OR(G22="",H22=""),"",G22*12*H22/60)</x:f>
      </x:c>
      <x:c r="AF22" s="32" t="str">
        <x:f>IF(AE22="","",AE22*I22)</x:f>
      </x:c>
      <x:c r="AG22" s="34" t="str">
        <x:f>IF(A22="","",ROUND((MIN(5,AE22/1000)*25+MIN(5,AF22/100000)*25+R22*15+S22*10+T22*10+U22*10+V22*5)/5,1))</x:f>
      </x:c>
      <x:c r="AH22" s="34" t="str">
        <x:f>IF(A22="","",ROUND(((K22*5)+(L22*5)+IF(M22="Strong",25,IF(M22="Partial",15,5))+IF(N22="Stable",20,IF(N22="Mixed",12,5))+O22*5+P22*5+Q22*5-W22*2)/5,1))</x:f>
      </x:c>
      <x:c r="AI22" s="34" t="str">
        <x:f>IF(A22="","",ROUND((AA22*25+AB22*25+AC22*25+AD22*25)/5,1))</x:f>
      </x:c>
      <x:c r="AJ22" s="34" t="str">
        <x:f>IF(A22="","",ROUND((X22*30+Y22*30+Z22*25+AD22*15)/5,1))</x:f>
      </x:c>
      <x:c r="AK22" s="34" t="str">
        <x:f>IF(A22="","",ROUND(AG22*'Scoring Model'!$B$5+AH22*'Scoring Model'!$B$6+(100-AI22)*'Scoring Model'!$B$7+(100-AJ22)*'Scoring Model'!$B$8,1))</x:f>
      </x:c>
      <x:c r="AL22" s="16" t="str">
        <x:f>IF(A22="","",IF(OR(AA22=5,AB22=5,AC22=5),"Pilot with Controls",IF(AK22&gt;=75,"Do Now",IF(AK22&gt;=60,"Pilot with Controls",IF(AK22&gt;=45,"Prepare / Remediate","Defer")))))</x:f>
      </x:c>
      <x:c r="AM22" s="16" t="str">
        <x:f>IF(A22="","",IF(OR(AA22=5,AB22=5,AC22=5),"Enhanced risk, testing, human oversight and approval required",IF(AJ22&gt;=70,"Resolve architecture / vendor dependencies before commitment","Standard lifecycle controls")))</x:f>
      </x:c>
      <x:c r="AN22" s="16"/>
      <x:c r="AO22" s="36"/>
      <x:c r="AP22" s="16" t="str">
        <x:f>IF(A22="","","Draft")</x:f>
      </x:c>
    </x:row>
    <x:row r="23">
      <x:c r="A23" s="26" t="str"/>
      <x:c r="B23" s="26" t="str"/>
      <x:c r="C23" s="26" t="str"/>
      <x:c r="D23" s="26" t="str"/>
      <x:c r="E23" s="26" t="str"/>
      <x:c r="F23" s="26" t="str"/>
      <x:c r="G23" s="28" t="str"/>
      <x:c r="H23" s="28" t="str"/>
      <x:c r="I23" s="28" t="str"/>
      <x:c r="J23" s="30" t="str"/>
      <x:c r="K23" s="30" t="str"/>
      <x:c r="L23" s="30" t="str"/>
      <x:c r="M23" s="26" t="str"/>
      <x:c r="N23" s="26" t="str"/>
      <x:c r="O23" s="26" t="str"/>
      <x:c r="P23" s="26" t="str"/>
      <x:c r="Q23" s="26" t="str"/>
      <x:c r="R23" s="26" t="str"/>
      <x:c r="S23" s="26" t="str"/>
      <x:c r="T23" s="26" t="str"/>
      <x:c r="U23" s="26" t="str"/>
      <x:c r="V23" s="26" t="str"/>
      <x:c r="W23" s="26" t="str"/>
      <x:c r="X23" s="26" t="str"/>
      <x:c r="Y23" s="26" t="str"/>
      <x:c r="Z23" s="26" t="str"/>
      <x:c r="AA23" s="26" t="str"/>
      <x:c r="AB23" s="26" t="str"/>
      <x:c r="AC23" s="26" t="str"/>
      <x:c r="AD23" s="26" t="str"/>
      <x:c r="AE23" s="32" t="str">
        <x:f>IF(OR(G23="",H23=""),"",G23*12*H23/60)</x:f>
      </x:c>
      <x:c r="AF23" s="32" t="str">
        <x:f>IF(AE23="","",AE23*I23)</x:f>
      </x:c>
      <x:c r="AG23" s="34" t="str">
        <x:f>IF(A23="","",ROUND((MIN(5,AE23/1000)*25+MIN(5,AF23/100000)*25+R23*15+S23*10+T23*10+U23*10+V23*5)/5,1))</x:f>
      </x:c>
      <x:c r="AH23" s="34" t="str">
        <x:f>IF(A23="","",ROUND(((K23*5)+(L23*5)+IF(M23="Strong",25,IF(M23="Partial",15,5))+IF(N23="Stable",20,IF(N23="Mixed",12,5))+O23*5+P23*5+Q23*5-W23*2)/5,1))</x:f>
      </x:c>
      <x:c r="AI23" s="34" t="str">
        <x:f>IF(A23="","",ROUND((AA23*25+AB23*25+AC23*25+AD23*25)/5,1))</x:f>
      </x:c>
      <x:c r="AJ23" s="34" t="str">
        <x:f>IF(A23="","",ROUND((X23*30+Y23*30+Z23*25+AD23*15)/5,1))</x:f>
      </x:c>
      <x:c r="AK23" s="34" t="str">
        <x:f>IF(A23="","",ROUND(AG23*'Scoring Model'!$B$5+AH23*'Scoring Model'!$B$6+(100-AI23)*'Scoring Model'!$B$7+(100-AJ23)*'Scoring Model'!$B$8,1))</x:f>
      </x:c>
      <x:c r="AL23" s="16" t="str">
        <x:f>IF(A23="","",IF(OR(AA23=5,AB23=5,AC23=5),"Pilot with Controls",IF(AK23&gt;=75,"Do Now",IF(AK23&gt;=60,"Pilot with Controls",IF(AK23&gt;=45,"Prepare / Remediate","Defer")))))</x:f>
      </x:c>
      <x:c r="AM23" s="16" t="str">
        <x:f>IF(A23="","",IF(OR(AA23=5,AB23=5,AC23=5),"Enhanced risk, testing, human oversight and approval required",IF(AJ23&gt;=70,"Resolve architecture / vendor dependencies before commitment","Standard lifecycle controls")))</x:f>
      </x:c>
      <x:c r="AN23" s="16"/>
      <x:c r="AO23" s="36"/>
      <x:c r="AP23" s="16" t="str">
        <x:f>IF(A23="","","Draft")</x:f>
      </x:c>
    </x:row>
    <x:row r="24">
      <x:c r="A24" s="26" t="str"/>
      <x:c r="B24" s="26" t="str"/>
      <x:c r="C24" s="26" t="str"/>
      <x:c r="D24" s="26" t="str"/>
      <x:c r="E24" s="26" t="str"/>
      <x:c r="F24" s="26" t="str"/>
      <x:c r="G24" s="28" t="str"/>
      <x:c r="H24" s="28" t="str"/>
      <x:c r="I24" s="28" t="str"/>
      <x:c r="J24" s="30" t="str"/>
      <x:c r="K24" s="30" t="str"/>
      <x:c r="L24" s="30" t="str"/>
      <x:c r="M24" s="26" t="str"/>
      <x:c r="N24" s="26" t="str"/>
      <x:c r="O24" s="26" t="str"/>
      <x:c r="P24" s="26" t="str"/>
      <x:c r="Q24" s="26" t="str"/>
      <x:c r="R24" s="26" t="str"/>
      <x:c r="S24" s="26" t="str"/>
      <x:c r="T24" s="26" t="str"/>
      <x:c r="U24" s="26" t="str"/>
      <x:c r="V24" s="26" t="str"/>
      <x:c r="W24" s="26" t="str"/>
      <x:c r="X24" s="26" t="str"/>
      <x:c r="Y24" s="26" t="str"/>
      <x:c r="Z24" s="26" t="str"/>
      <x:c r="AA24" s="26" t="str"/>
      <x:c r="AB24" s="26" t="str"/>
      <x:c r="AC24" s="26" t="str"/>
      <x:c r="AD24" s="26" t="str"/>
      <x:c r="AE24" s="32" t="str">
        <x:f>IF(OR(G24="",H24=""),"",G24*12*H24/60)</x:f>
      </x:c>
      <x:c r="AF24" s="32" t="str">
        <x:f>IF(AE24="","",AE24*I24)</x:f>
      </x:c>
      <x:c r="AG24" s="34" t="str">
        <x:f>IF(A24="","",ROUND((MIN(5,AE24/1000)*25+MIN(5,AF24/100000)*25+R24*15+S24*10+T24*10+U24*10+V24*5)/5,1))</x:f>
      </x:c>
      <x:c r="AH24" s="34" t="str">
        <x:f>IF(A24="","",ROUND(((K24*5)+(L24*5)+IF(M24="Strong",25,IF(M24="Partial",15,5))+IF(N24="Stable",20,IF(N24="Mixed",12,5))+O24*5+P24*5+Q24*5-W24*2)/5,1))</x:f>
      </x:c>
      <x:c r="AI24" s="34" t="str">
        <x:f>IF(A24="","",ROUND((AA24*25+AB24*25+AC24*25+AD24*25)/5,1))</x:f>
      </x:c>
      <x:c r="AJ24" s="34" t="str">
        <x:f>IF(A24="","",ROUND((X24*30+Y24*30+Z24*25+AD24*15)/5,1))</x:f>
      </x:c>
      <x:c r="AK24" s="34" t="str">
        <x:f>IF(A24="","",ROUND(AG24*'Scoring Model'!$B$5+AH24*'Scoring Model'!$B$6+(100-AI24)*'Scoring Model'!$B$7+(100-AJ24)*'Scoring Model'!$B$8,1))</x:f>
      </x:c>
      <x:c r="AL24" s="16" t="str">
        <x:f>IF(A24="","",IF(OR(AA24=5,AB24=5,AC24=5),"Pilot with Controls",IF(AK24&gt;=75,"Do Now",IF(AK24&gt;=60,"Pilot with Controls",IF(AK24&gt;=45,"Prepare / Remediate","Defer")))))</x:f>
      </x:c>
      <x:c r="AM24" s="16" t="str">
        <x:f>IF(A24="","",IF(OR(AA24=5,AB24=5,AC24=5),"Enhanced risk, testing, human oversight and approval required",IF(AJ24&gt;=70,"Resolve architecture / vendor dependencies before commitment","Standard lifecycle controls")))</x:f>
      </x:c>
      <x:c r="AN24" s="16"/>
      <x:c r="AO24" s="36"/>
      <x:c r="AP24" s="16" t="str">
        <x:f>IF(A24="","","Draft")</x:f>
      </x:c>
    </x:row>
    <x:row r="25">
      <x:c r="A25" s="26" t="str"/>
      <x:c r="B25" s="26" t="str"/>
      <x:c r="C25" s="26" t="str"/>
      <x:c r="D25" s="26" t="str"/>
      <x:c r="E25" s="26" t="str"/>
      <x:c r="F25" s="26" t="str"/>
      <x:c r="G25" s="28" t="str"/>
      <x:c r="H25" s="28" t="str"/>
      <x:c r="I25" s="28" t="str"/>
      <x:c r="J25" s="30" t="str"/>
      <x:c r="K25" s="30" t="str"/>
      <x:c r="L25" s="30" t="str"/>
      <x:c r="M25" s="26" t="str"/>
      <x:c r="N25" s="26" t="str"/>
      <x:c r="O25" s="26" t="str"/>
      <x:c r="P25" s="26" t="str"/>
      <x:c r="Q25" s="26" t="str"/>
      <x:c r="R25" s="26" t="str"/>
      <x:c r="S25" s="26" t="str"/>
      <x:c r="T25" s="26" t="str"/>
      <x:c r="U25" s="26" t="str"/>
      <x:c r="V25" s="26" t="str"/>
      <x:c r="W25" s="26" t="str"/>
      <x:c r="X25" s="26" t="str"/>
      <x:c r="Y25" s="26" t="str"/>
      <x:c r="Z25" s="26" t="str"/>
      <x:c r="AA25" s="26" t="str"/>
      <x:c r="AB25" s="26" t="str"/>
      <x:c r="AC25" s="26" t="str"/>
      <x:c r="AD25" s="26" t="str"/>
      <x:c r="AE25" s="32" t="str">
        <x:f>IF(OR(G25="",H25=""),"",G25*12*H25/60)</x:f>
      </x:c>
      <x:c r="AF25" s="32" t="str">
        <x:f>IF(AE25="","",AE25*I25)</x:f>
      </x:c>
      <x:c r="AG25" s="34" t="str">
        <x:f>IF(A25="","",ROUND((MIN(5,AE25/1000)*25+MIN(5,AF25/100000)*25+R25*15+S25*10+T25*10+U25*10+V25*5)/5,1))</x:f>
      </x:c>
      <x:c r="AH25" s="34" t="str">
        <x:f>IF(A25="","",ROUND(((K25*5)+(L25*5)+IF(M25="Strong",25,IF(M25="Partial",15,5))+IF(N25="Stable",20,IF(N25="Mixed",12,5))+O25*5+P25*5+Q25*5-W25*2)/5,1))</x:f>
      </x:c>
      <x:c r="AI25" s="34" t="str">
        <x:f>IF(A25="","",ROUND((AA25*25+AB25*25+AC25*25+AD25*25)/5,1))</x:f>
      </x:c>
      <x:c r="AJ25" s="34" t="str">
        <x:f>IF(A25="","",ROUND((X25*30+Y25*30+Z25*25+AD25*15)/5,1))</x:f>
      </x:c>
      <x:c r="AK25" s="34" t="str">
        <x:f>IF(A25="","",ROUND(AG25*'Scoring Model'!$B$5+AH25*'Scoring Model'!$B$6+(100-AI25)*'Scoring Model'!$B$7+(100-AJ25)*'Scoring Model'!$B$8,1))</x:f>
      </x:c>
      <x:c r="AL25" s="16" t="str">
        <x:f>IF(A25="","",IF(OR(AA25=5,AB25=5,AC25=5),"Pilot with Controls",IF(AK25&gt;=75,"Do Now",IF(AK25&gt;=60,"Pilot with Controls",IF(AK25&gt;=45,"Prepare / Remediate","Defer")))))</x:f>
      </x:c>
      <x:c r="AM25" s="16" t="str">
        <x:f>IF(A25="","",IF(OR(AA25=5,AB25=5,AC25=5),"Enhanced risk, testing, human oversight and approval required",IF(AJ25&gt;=70,"Resolve architecture / vendor dependencies before commitment","Standard lifecycle controls")))</x:f>
      </x:c>
      <x:c r="AN25" s="16"/>
      <x:c r="AO25" s="36"/>
      <x:c r="AP25" s="16" t="str">
        <x:f>IF(A25="","","Draft")</x:f>
      </x:c>
    </x:row>
    <x:row r="26">
      <x:c r="A26" s="26" t="str"/>
      <x:c r="B26" s="26" t="str"/>
      <x:c r="C26" s="26" t="str"/>
      <x:c r="D26" s="26" t="str"/>
      <x:c r="E26" s="26" t="str"/>
      <x:c r="F26" s="26" t="str"/>
      <x:c r="G26" s="28" t="str"/>
      <x:c r="H26" s="28" t="str"/>
      <x:c r="I26" s="28" t="str"/>
      <x:c r="J26" s="30" t="str"/>
      <x:c r="K26" s="30" t="str"/>
      <x:c r="L26" s="30" t="str"/>
      <x:c r="M26" s="26" t="str"/>
      <x:c r="N26" s="26" t="str"/>
      <x:c r="O26" s="26" t="str"/>
      <x:c r="P26" s="26" t="str"/>
      <x:c r="Q26" s="26" t="str"/>
      <x:c r="R26" s="26" t="str"/>
      <x:c r="S26" s="26" t="str"/>
      <x:c r="T26" s="26" t="str"/>
      <x:c r="U26" s="26" t="str"/>
      <x:c r="V26" s="26" t="str"/>
      <x:c r="W26" s="26" t="str"/>
      <x:c r="X26" s="26" t="str"/>
      <x:c r="Y26" s="26" t="str"/>
      <x:c r="Z26" s="26" t="str"/>
      <x:c r="AA26" s="26" t="str"/>
      <x:c r="AB26" s="26" t="str"/>
      <x:c r="AC26" s="26" t="str"/>
      <x:c r="AD26" s="26" t="str"/>
      <x:c r="AE26" s="32" t="str">
        <x:f>IF(OR(G26="",H26=""),"",G26*12*H26/60)</x:f>
      </x:c>
      <x:c r="AF26" s="32" t="str">
        <x:f>IF(AE26="","",AE26*I26)</x:f>
      </x:c>
      <x:c r="AG26" s="34" t="str">
        <x:f>IF(A26="","",ROUND((MIN(5,AE26/1000)*25+MIN(5,AF26/100000)*25+R26*15+S26*10+T26*10+U26*10+V26*5)/5,1))</x:f>
      </x:c>
      <x:c r="AH26" s="34" t="str">
        <x:f>IF(A26="","",ROUND(((K26*5)+(L26*5)+IF(M26="Strong",25,IF(M26="Partial",15,5))+IF(N26="Stable",20,IF(N26="Mixed",12,5))+O26*5+P26*5+Q26*5-W26*2)/5,1))</x:f>
      </x:c>
      <x:c r="AI26" s="34" t="str">
        <x:f>IF(A26="","",ROUND((AA26*25+AB26*25+AC26*25+AD26*25)/5,1))</x:f>
      </x:c>
      <x:c r="AJ26" s="34" t="str">
        <x:f>IF(A26="","",ROUND((X26*30+Y26*30+Z26*25+AD26*15)/5,1))</x:f>
      </x:c>
      <x:c r="AK26" s="34" t="str">
        <x:f>IF(A26="","",ROUND(AG26*'Scoring Model'!$B$5+AH26*'Scoring Model'!$B$6+(100-AI26)*'Scoring Model'!$B$7+(100-AJ26)*'Scoring Model'!$B$8,1))</x:f>
      </x:c>
      <x:c r="AL26" s="16" t="str">
        <x:f>IF(A26="","",IF(OR(AA26=5,AB26=5,AC26=5),"Pilot with Controls",IF(AK26&gt;=75,"Do Now",IF(AK26&gt;=60,"Pilot with Controls",IF(AK26&gt;=45,"Prepare / Remediate","Defer")))))</x:f>
      </x:c>
      <x:c r="AM26" s="16" t="str">
        <x:f>IF(A26="","",IF(OR(AA26=5,AB26=5,AC26=5),"Enhanced risk, testing, human oversight and approval required",IF(AJ26&gt;=70,"Resolve architecture / vendor dependencies before commitment","Standard lifecycle controls")))</x:f>
      </x:c>
      <x:c r="AN26" s="16"/>
      <x:c r="AO26" s="36"/>
      <x:c r="AP26" s="16" t="str">
        <x:f>IF(A26="","","Draft")</x:f>
      </x:c>
    </x:row>
    <x:row r="27">
      <x:c r="A27" s="26" t="str"/>
      <x:c r="B27" s="26" t="str"/>
      <x:c r="C27" s="26" t="str"/>
      <x:c r="D27" s="26" t="str"/>
      <x:c r="E27" s="26" t="str"/>
      <x:c r="F27" s="26" t="str"/>
      <x:c r="G27" s="28" t="str"/>
      <x:c r="H27" s="28" t="str"/>
      <x:c r="I27" s="28" t="str"/>
      <x:c r="J27" s="30" t="str"/>
      <x:c r="K27" s="30" t="str"/>
      <x:c r="L27" s="30" t="str"/>
      <x:c r="M27" s="26" t="str"/>
      <x:c r="N27" s="26" t="str"/>
      <x:c r="O27" s="26" t="str"/>
      <x:c r="P27" s="26" t="str"/>
      <x:c r="Q27" s="26" t="str"/>
      <x:c r="R27" s="26" t="str"/>
      <x:c r="S27" s="26" t="str"/>
      <x:c r="T27" s="26" t="str"/>
      <x:c r="U27" s="26" t="str"/>
      <x:c r="V27" s="26" t="str"/>
      <x:c r="W27" s="26" t="str"/>
      <x:c r="X27" s="26" t="str"/>
      <x:c r="Y27" s="26" t="str"/>
      <x:c r="Z27" s="26" t="str"/>
      <x:c r="AA27" s="26" t="str"/>
      <x:c r="AB27" s="26" t="str"/>
      <x:c r="AC27" s="26" t="str"/>
      <x:c r="AD27" s="26" t="str"/>
      <x:c r="AE27" s="32" t="str">
        <x:f>IF(OR(G27="",H27=""),"",G27*12*H27/60)</x:f>
      </x:c>
      <x:c r="AF27" s="32" t="str">
        <x:f>IF(AE27="","",AE27*I27)</x:f>
      </x:c>
      <x:c r="AG27" s="34" t="str">
        <x:f>IF(A27="","",ROUND((MIN(5,AE27/1000)*25+MIN(5,AF27/100000)*25+R27*15+S27*10+T27*10+U27*10+V27*5)/5,1))</x:f>
      </x:c>
      <x:c r="AH27" s="34" t="str">
        <x:f>IF(A27="","",ROUND(((K27*5)+(L27*5)+IF(M27="Strong",25,IF(M27="Partial",15,5))+IF(N27="Stable",20,IF(N27="Mixed",12,5))+O27*5+P27*5+Q27*5-W27*2)/5,1))</x:f>
      </x:c>
      <x:c r="AI27" s="34" t="str">
        <x:f>IF(A27="","",ROUND((AA27*25+AB27*25+AC27*25+AD27*25)/5,1))</x:f>
      </x:c>
      <x:c r="AJ27" s="34" t="str">
        <x:f>IF(A27="","",ROUND((X27*30+Y27*30+Z27*25+AD27*15)/5,1))</x:f>
      </x:c>
      <x:c r="AK27" s="34" t="str">
        <x:f>IF(A27="","",ROUND(AG27*'Scoring Model'!$B$5+AH27*'Scoring Model'!$B$6+(100-AI27)*'Scoring Model'!$B$7+(100-AJ27)*'Scoring Model'!$B$8,1))</x:f>
      </x:c>
      <x:c r="AL27" s="16" t="str">
        <x:f>IF(A27="","",IF(OR(AA27=5,AB27=5,AC27=5),"Pilot with Controls",IF(AK27&gt;=75,"Do Now",IF(AK27&gt;=60,"Pilot with Controls",IF(AK27&gt;=45,"Prepare / Remediate","Defer")))))</x:f>
      </x:c>
      <x:c r="AM27" s="16" t="str">
        <x:f>IF(A27="","",IF(OR(AA27=5,AB27=5,AC27=5),"Enhanced risk, testing, human oversight and approval required",IF(AJ27&gt;=70,"Resolve architecture / vendor dependencies before commitment","Standard lifecycle controls")))</x:f>
      </x:c>
      <x:c r="AN27" s="16"/>
      <x:c r="AO27" s="36"/>
      <x:c r="AP27" s="16" t="str">
        <x:f>IF(A27="","","Draft")</x:f>
      </x:c>
    </x:row>
    <x:row r="28">
      <x:c r="A28" s="26" t="str"/>
      <x:c r="B28" s="26" t="str"/>
      <x:c r="C28" s="26" t="str"/>
      <x:c r="D28" s="26" t="str"/>
      <x:c r="E28" s="26" t="str"/>
      <x:c r="F28" s="26" t="str"/>
      <x:c r="G28" s="28" t="str"/>
      <x:c r="H28" s="28" t="str"/>
      <x:c r="I28" s="28" t="str"/>
      <x:c r="J28" s="30" t="str"/>
      <x:c r="K28" s="30" t="str"/>
      <x:c r="L28" s="30" t="str"/>
      <x:c r="M28" s="26" t="str"/>
      <x:c r="N28" s="26" t="str"/>
      <x:c r="O28" s="26" t="str"/>
      <x:c r="P28" s="26" t="str"/>
      <x:c r="Q28" s="26" t="str"/>
      <x:c r="R28" s="26" t="str"/>
      <x:c r="S28" s="26" t="str"/>
      <x:c r="T28" s="26" t="str"/>
      <x:c r="U28" s="26" t="str"/>
      <x:c r="V28" s="26" t="str"/>
      <x:c r="W28" s="26" t="str"/>
      <x:c r="X28" s="26" t="str"/>
      <x:c r="Y28" s="26" t="str"/>
      <x:c r="Z28" s="26" t="str"/>
      <x:c r="AA28" s="26" t="str"/>
      <x:c r="AB28" s="26" t="str"/>
      <x:c r="AC28" s="26" t="str"/>
      <x:c r="AD28" s="26" t="str"/>
      <x:c r="AE28" s="32" t="str">
        <x:f>IF(OR(G28="",H28=""),"",G28*12*H28/60)</x:f>
      </x:c>
      <x:c r="AF28" s="32" t="str">
        <x:f>IF(AE28="","",AE28*I28)</x:f>
      </x:c>
      <x:c r="AG28" s="34" t="str">
        <x:f>IF(A28="","",ROUND((MIN(5,AE28/1000)*25+MIN(5,AF28/100000)*25+R28*15+S28*10+T28*10+U28*10+V28*5)/5,1))</x:f>
      </x:c>
      <x:c r="AH28" s="34" t="str">
        <x:f>IF(A28="","",ROUND(((K28*5)+(L28*5)+IF(M28="Strong",25,IF(M28="Partial",15,5))+IF(N28="Stable",20,IF(N28="Mixed",12,5))+O28*5+P28*5+Q28*5-W28*2)/5,1))</x:f>
      </x:c>
      <x:c r="AI28" s="34" t="str">
        <x:f>IF(A28="","",ROUND((AA28*25+AB28*25+AC28*25+AD28*25)/5,1))</x:f>
      </x:c>
      <x:c r="AJ28" s="34" t="str">
        <x:f>IF(A28="","",ROUND((X28*30+Y28*30+Z28*25+AD28*15)/5,1))</x:f>
      </x:c>
      <x:c r="AK28" s="34" t="str">
        <x:f>IF(A28="","",ROUND(AG28*'Scoring Model'!$B$5+AH28*'Scoring Model'!$B$6+(100-AI28)*'Scoring Model'!$B$7+(100-AJ28)*'Scoring Model'!$B$8,1))</x:f>
      </x:c>
      <x:c r="AL28" s="16" t="str">
        <x:f>IF(A28="","",IF(OR(AA28=5,AB28=5,AC28=5),"Pilot with Controls",IF(AK28&gt;=75,"Do Now",IF(AK28&gt;=60,"Pilot with Controls",IF(AK28&gt;=45,"Prepare / Remediate","Defer")))))</x:f>
      </x:c>
      <x:c r="AM28" s="16" t="str">
        <x:f>IF(A28="","",IF(OR(AA28=5,AB28=5,AC28=5),"Enhanced risk, testing, human oversight and approval required",IF(AJ28&gt;=70,"Resolve architecture / vendor dependencies before commitment","Standard lifecycle controls")))</x:f>
      </x:c>
      <x:c r="AN28" s="16"/>
      <x:c r="AO28" s="36"/>
      <x:c r="AP28" s="16" t="str">
        <x:f>IF(A28="","","Draft")</x:f>
      </x:c>
    </x:row>
    <x:row r="29">
      <x:c r="A29" s="26" t="str"/>
      <x:c r="B29" s="26" t="str"/>
      <x:c r="C29" s="26" t="str"/>
      <x:c r="D29" s="26" t="str"/>
      <x:c r="E29" s="26" t="str"/>
      <x:c r="F29" s="26" t="str"/>
      <x:c r="G29" s="28" t="str"/>
      <x:c r="H29" s="28" t="str"/>
      <x:c r="I29" s="28" t="str"/>
      <x:c r="J29" s="30" t="str"/>
      <x:c r="K29" s="30" t="str"/>
      <x:c r="L29" s="30" t="str"/>
      <x:c r="M29" s="26" t="str"/>
      <x:c r="N29" s="26" t="str"/>
      <x:c r="O29" s="26" t="str"/>
      <x:c r="P29" s="26" t="str"/>
      <x:c r="Q29" s="26" t="str"/>
      <x:c r="R29" s="26" t="str"/>
      <x:c r="S29" s="26" t="str"/>
      <x:c r="T29" s="26" t="str"/>
      <x:c r="U29" s="26" t="str"/>
      <x:c r="V29" s="26" t="str"/>
      <x:c r="W29" s="26" t="str"/>
      <x:c r="X29" s="26" t="str"/>
      <x:c r="Y29" s="26" t="str"/>
      <x:c r="Z29" s="26" t="str"/>
      <x:c r="AA29" s="26" t="str"/>
      <x:c r="AB29" s="26" t="str"/>
      <x:c r="AC29" s="26" t="str"/>
      <x:c r="AD29" s="26" t="str"/>
      <x:c r="AE29" s="32" t="str">
        <x:f>IF(OR(G29="",H29=""),"",G29*12*H29/60)</x:f>
      </x:c>
      <x:c r="AF29" s="32" t="str">
        <x:f>IF(AE29="","",AE29*I29)</x:f>
      </x:c>
      <x:c r="AG29" s="34" t="str">
        <x:f>IF(A29="","",ROUND((MIN(5,AE29/1000)*25+MIN(5,AF29/100000)*25+R29*15+S29*10+T29*10+U29*10+V29*5)/5,1))</x:f>
      </x:c>
      <x:c r="AH29" s="34" t="str">
        <x:f>IF(A29="","",ROUND(((K29*5)+(L29*5)+IF(M29="Strong",25,IF(M29="Partial",15,5))+IF(N29="Stable",20,IF(N29="Mixed",12,5))+O29*5+P29*5+Q29*5-W29*2)/5,1))</x:f>
      </x:c>
      <x:c r="AI29" s="34" t="str">
        <x:f>IF(A29="","",ROUND((AA29*25+AB29*25+AC29*25+AD29*25)/5,1))</x:f>
      </x:c>
      <x:c r="AJ29" s="34" t="str">
        <x:f>IF(A29="","",ROUND((X29*30+Y29*30+Z29*25+AD29*15)/5,1))</x:f>
      </x:c>
      <x:c r="AK29" s="34" t="str">
        <x:f>IF(A29="","",ROUND(AG29*'Scoring Model'!$B$5+AH29*'Scoring Model'!$B$6+(100-AI29)*'Scoring Model'!$B$7+(100-AJ29)*'Scoring Model'!$B$8,1))</x:f>
      </x:c>
      <x:c r="AL29" s="16" t="str">
        <x:f>IF(A29="","",IF(OR(AA29=5,AB29=5,AC29=5),"Pilot with Controls",IF(AK29&gt;=75,"Do Now",IF(AK29&gt;=60,"Pilot with Controls",IF(AK29&gt;=45,"Prepare / Remediate","Defer")))))</x:f>
      </x:c>
      <x:c r="AM29" s="16" t="str">
        <x:f>IF(A29="","",IF(OR(AA29=5,AB29=5,AC29=5),"Enhanced risk, testing, human oversight and approval required",IF(AJ29&gt;=70,"Resolve architecture / vendor dependencies before commitment","Standard lifecycle controls")))</x:f>
      </x:c>
      <x:c r="AN29" s="16"/>
      <x:c r="AO29" s="36"/>
      <x:c r="AP29" s="16" t="str">
        <x:f>IF(A29="","","Draft")</x:f>
      </x:c>
    </x:row>
    <x:row r="30">
      <x:c r="A30" s="26" t="str"/>
      <x:c r="B30" s="26" t="str"/>
      <x:c r="C30" s="26" t="str"/>
      <x:c r="D30" s="26" t="str"/>
      <x:c r="E30" s="26" t="str"/>
      <x:c r="F30" s="26" t="str"/>
      <x:c r="G30" s="28" t="str"/>
      <x:c r="H30" s="28" t="str"/>
      <x:c r="I30" s="28" t="str"/>
      <x:c r="J30" s="30" t="str"/>
      <x:c r="K30" s="30" t="str"/>
      <x:c r="L30" s="30" t="str"/>
      <x:c r="M30" s="26" t="str"/>
      <x:c r="N30" s="26" t="str"/>
      <x:c r="O30" s="26" t="str"/>
      <x:c r="P30" s="26" t="str"/>
      <x:c r="Q30" s="26" t="str"/>
      <x:c r="R30" s="26" t="str"/>
      <x:c r="S30" s="26" t="str"/>
      <x:c r="T30" s="26" t="str"/>
      <x:c r="U30" s="26" t="str"/>
      <x:c r="V30" s="26" t="str"/>
      <x:c r="W30" s="26" t="str"/>
      <x:c r="X30" s="26" t="str"/>
      <x:c r="Y30" s="26" t="str"/>
      <x:c r="Z30" s="26" t="str"/>
      <x:c r="AA30" s="26" t="str"/>
      <x:c r="AB30" s="26" t="str"/>
      <x:c r="AC30" s="26" t="str"/>
      <x:c r="AD30" s="26" t="str"/>
      <x:c r="AE30" s="32" t="str">
        <x:f>IF(OR(G30="",H30=""),"",G30*12*H30/60)</x:f>
      </x:c>
      <x:c r="AF30" s="32" t="str">
        <x:f>IF(AE30="","",AE30*I30)</x:f>
      </x:c>
      <x:c r="AG30" s="34" t="str">
        <x:f>IF(A30="","",ROUND((MIN(5,AE30/1000)*25+MIN(5,AF30/100000)*25+R30*15+S30*10+T30*10+U30*10+V30*5)/5,1))</x:f>
      </x:c>
      <x:c r="AH30" s="34" t="str">
        <x:f>IF(A30="","",ROUND(((K30*5)+(L30*5)+IF(M30="Strong",25,IF(M30="Partial",15,5))+IF(N30="Stable",20,IF(N30="Mixed",12,5))+O30*5+P30*5+Q30*5-W30*2)/5,1))</x:f>
      </x:c>
      <x:c r="AI30" s="34" t="str">
        <x:f>IF(A30="","",ROUND((AA30*25+AB30*25+AC30*25+AD30*25)/5,1))</x:f>
      </x:c>
      <x:c r="AJ30" s="34" t="str">
        <x:f>IF(A30="","",ROUND((X30*30+Y30*30+Z30*25+AD30*15)/5,1))</x:f>
      </x:c>
      <x:c r="AK30" s="34" t="str">
        <x:f>IF(A30="","",ROUND(AG30*'Scoring Model'!$B$5+AH30*'Scoring Model'!$B$6+(100-AI30)*'Scoring Model'!$B$7+(100-AJ30)*'Scoring Model'!$B$8,1))</x:f>
      </x:c>
      <x:c r="AL30" s="16" t="str">
        <x:f>IF(A30="","",IF(OR(AA30=5,AB30=5,AC30=5),"Pilot with Controls",IF(AK30&gt;=75,"Do Now",IF(AK30&gt;=60,"Pilot with Controls",IF(AK30&gt;=45,"Prepare / Remediate","Defer")))))</x:f>
      </x:c>
      <x:c r="AM30" s="16" t="str">
        <x:f>IF(A30="","",IF(OR(AA30=5,AB30=5,AC30=5),"Enhanced risk, testing, human oversight and approval required",IF(AJ30&gt;=70,"Resolve architecture / vendor dependencies before commitment","Standard lifecycle controls")))</x:f>
      </x:c>
      <x:c r="AN30" s="16"/>
      <x:c r="AO30" s="36"/>
      <x:c r="AP30" s="16" t="str">
        <x:f>IF(A30="","","Draft")</x:f>
      </x:c>
    </x:row>
    <x:row r="31">
      <x:c r="A31" s="26" t="str"/>
      <x:c r="B31" s="26" t="str"/>
      <x:c r="C31" s="26" t="str"/>
      <x:c r="D31" s="26" t="str"/>
      <x:c r="E31" s="26" t="str"/>
      <x:c r="F31" s="26" t="str"/>
      <x:c r="G31" s="28" t="str"/>
      <x:c r="H31" s="28" t="str"/>
      <x:c r="I31" s="28" t="str"/>
      <x:c r="J31" s="30" t="str"/>
      <x:c r="K31" s="30" t="str"/>
      <x:c r="L31" s="30" t="str"/>
      <x:c r="M31" s="26" t="str"/>
      <x:c r="N31" s="26" t="str"/>
      <x:c r="O31" s="26" t="str"/>
      <x:c r="P31" s="26" t="str"/>
      <x:c r="Q31" s="26" t="str"/>
      <x:c r="R31" s="26" t="str"/>
      <x:c r="S31" s="26" t="str"/>
      <x:c r="T31" s="26" t="str"/>
      <x:c r="U31" s="26" t="str"/>
      <x:c r="V31" s="26" t="str"/>
      <x:c r="W31" s="26" t="str"/>
      <x:c r="X31" s="26" t="str"/>
      <x:c r="Y31" s="26" t="str"/>
      <x:c r="Z31" s="26" t="str"/>
      <x:c r="AA31" s="26" t="str"/>
      <x:c r="AB31" s="26" t="str"/>
      <x:c r="AC31" s="26" t="str"/>
      <x:c r="AD31" s="26" t="str"/>
      <x:c r="AE31" s="32" t="str">
        <x:f>IF(OR(G31="",H31=""),"",G31*12*H31/60)</x:f>
      </x:c>
      <x:c r="AF31" s="32" t="str">
        <x:f>IF(AE31="","",AE31*I31)</x:f>
      </x:c>
      <x:c r="AG31" s="34" t="str">
        <x:f>IF(A31="","",ROUND((MIN(5,AE31/1000)*25+MIN(5,AF31/100000)*25+R31*15+S31*10+T31*10+U31*10+V31*5)/5,1))</x:f>
      </x:c>
      <x:c r="AH31" s="34" t="str">
        <x:f>IF(A31="","",ROUND(((K31*5)+(L31*5)+IF(M31="Strong",25,IF(M31="Partial",15,5))+IF(N31="Stable",20,IF(N31="Mixed",12,5))+O31*5+P31*5+Q31*5-W31*2)/5,1))</x:f>
      </x:c>
      <x:c r="AI31" s="34" t="str">
        <x:f>IF(A31="","",ROUND((AA31*25+AB31*25+AC31*25+AD31*25)/5,1))</x:f>
      </x:c>
      <x:c r="AJ31" s="34" t="str">
        <x:f>IF(A31="","",ROUND((X31*30+Y31*30+Z31*25+AD31*15)/5,1))</x:f>
      </x:c>
      <x:c r="AK31" s="34" t="str">
        <x:f>IF(A31="","",ROUND(AG31*'Scoring Model'!$B$5+AH31*'Scoring Model'!$B$6+(100-AI31)*'Scoring Model'!$B$7+(100-AJ31)*'Scoring Model'!$B$8,1))</x:f>
      </x:c>
      <x:c r="AL31" s="16" t="str">
        <x:f>IF(A31="","",IF(OR(AA31=5,AB31=5,AC31=5),"Pilot with Controls",IF(AK31&gt;=75,"Do Now",IF(AK31&gt;=60,"Pilot with Controls",IF(AK31&gt;=45,"Prepare / Remediate","Defer")))))</x:f>
      </x:c>
      <x:c r="AM31" s="16" t="str">
        <x:f>IF(A31="","",IF(OR(AA31=5,AB31=5,AC31=5),"Enhanced risk, testing, human oversight and approval required",IF(AJ31&gt;=70,"Resolve architecture / vendor dependencies before commitment","Standard lifecycle controls")))</x:f>
      </x:c>
      <x:c r="AN31" s="16"/>
      <x:c r="AO31" s="36"/>
      <x:c r="AP31" s="16" t="str">
        <x:f>IF(A31="","","Draft")</x:f>
      </x:c>
    </x:row>
    <x:row r="32">
      <x:c r="A32" s="26" t="str"/>
      <x:c r="B32" s="26" t="str"/>
      <x:c r="C32" s="26" t="str"/>
      <x:c r="D32" s="26" t="str"/>
      <x:c r="E32" s="26" t="str"/>
      <x:c r="F32" s="26" t="str"/>
      <x:c r="G32" s="28" t="str"/>
      <x:c r="H32" s="28" t="str"/>
      <x:c r="I32" s="28" t="str"/>
      <x:c r="J32" s="30" t="str"/>
      <x:c r="K32" s="30" t="str"/>
      <x:c r="L32" s="30" t="str"/>
      <x:c r="M32" s="26" t="str"/>
      <x:c r="N32" s="26" t="str"/>
      <x:c r="O32" s="26" t="str"/>
      <x:c r="P32" s="26" t="str"/>
      <x:c r="Q32" s="26" t="str"/>
      <x:c r="R32" s="26" t="str"/>
      <x:c r="S32" s="26" t="str"/>
      <x:c r="T32" s="26" t="str"/>
      <x:c r="U32" s="26" t="str"/>
      <x:c r="V32" s="26" t="str"/>
      <x:c r="W32" s="26" t="str"/>
      <x:c r="X32" s="26" t="str"/>
      <x:c r="Y32" s="26" t="str"/>
      <x:c r="Z32" s="26" t="str"/>
      <x:c r="AA32" s="26" t="str"/>
      <x:c r="AB32" s="26" t="str"/>
      <x:c r="AC32" s="26" t="str"/>
      <x:c r="AD32" s="26" t="str"/>
      <x:c r="AE32" s="32" t="str">
        <x:f>IF(OR(G32="",H32=""),"",G32*12*H32/60)</x:f>
      </x:c>
      <x:c r="AF32" s="32" t="str">
        <x:f>IF(AE32="","",AE32*I32)</x:f>
      </x:c>
      <x:c r="AG32" s="34" t="str">
        <x:f>IF(A32="","",ROUND((MIN(5,AE32/1000)*25+MIN(5,AF32/100000)*25+R32*15+S32*10+T32*10+U32*10+V32*5)/5,1))</x:f>
      </x:c>
      <x:c r="AH32" s="34" t="str">
        <x:f>IF(A32="","",ROUND(((K32*5)+(L32*5)+IF(M32="Strong",25,IF(M32="Partial",15,5))+IF(N32="Stable",20,IF(N32="Mixed",12,5))+O32*5+P32*5+Q32*5-W32*2)/5,1))</x:f>
      </x:c>
      <x:c r="AI32" s="34" t="str">
        <x:f>IF(A32="","",ROUND((AA32*25+AB32*25+AC32*25+AD32*25)/5,1))</x:f>
      </x:c>
      <x:c r="AJ32" s="34" t="str">
        <x:f>IF(A32="","",ROUND((X32*30+Y32*30+Z32*25+AD32*15)/5,1))</x:f>
      </x:c>
      <x:c r="AK32" s="34" t="str">
        <x:f>IF(A32="","",ROUND(AG32*'Scoring Model'!$B$5+AH32*'Scoring Model'!$B$6+(100-AI32)*'Scoring Model'!$B$7+(100-AJ32)*'Scoring Model'!$B$8,1))</x:f>
      </x:c>
      <x:c r="AL32" s="16" t="str">
        <x:f>IF(A32="","",IF(OR(AA32=5,AB32=5,AC32=5),"Pilot with Controls",IF(AK32&gt;=75,"Do Now",IF(AK32&gt;=60,"Pilot with Controls",IF(AK32&gt;=45,"Prepare / Remediate","Defer")))))</x:f>
      </x:c>
      <x:c r="AM32" s="16" t="str">
        <x:f>IF(A32="","",IF(OR(AA32=5,AB32=5,AC32=5),"Enhanced risk, testing, human oversight and approval required",IF(AJ32&gt;=70,"Resolve architecture / vendor dependencies before commitment","Standard lifecycle controls")))</x:f>
      </x:c>
      <x:c r="AN32" s="16"/>
      <x:c r="AO32" s="36"/>
      <x:c r="AP32" s="16" t="str">
        <x:f>IF(A32="","","Draft")</x:f>
      </x:c>
    </x:row>
    <x:row r="33">
      <x:c r="A33" s="26" t="str"/>
      <x:c r="B33" s="26" t="str"/>
      <x:c r="C33" s="26" t="str"/>
      <x:c r="D33" s="26" t="str"/>
      <x:c r="E33" s="26" t="str"/>
      <x:c r="F33" s="26" t="str"/>
      <x:c r="G33" s="28" t="str"/>
      <x:c r="H33" s="28" t="str"/>
      <x:c r="I33" s="28" t="str"/>
      <x:c r="J33" s="30" t="str"/>
      <x:c r="K33" s="30" t="str"/>
      <x:c r="L33" s="30" t="str"/>
      <x:c r="M33" s="26" t="str"/>
      <x:c r="N33" s="26" t="str"/>
      <x:c r="O33" s="26" t="str"/>
      <x:c r="P33" s="26" t="str"/>
      <x:c r="Q33" s="26" t="str"/>
      <x:c r="R33" s="26" t="str"/>
      <x:c r="S33" s="26" t="str"/>
      <x:c r="T33" s="26" t="str"/>
      <x:c r="U33" s="26" t="str"/>
      <x:c r="V33" s="26" t="str"/>
      <x:c r="W33" s="26" t="str"/>
      <x:c r="X33" s="26" t="str"/>
      <x:c r="Y33" s="26" t="str"/>
      <x:c r="Z33" s="26" t="str"/>
      <x:c r="AA33" s="26" t="str"/>
      <x:c r="AB33" s="26" t="str"/>
      <x:c r="AC33" s="26" t="str"/>
      <x:c r="AD33" s="26" t="str"/>
      <x:c r="AE33" s="32" t="str">
        <x:f>IF(OR(G33="",H33=""),"",G33*12*H33/60)</x:f>
      </x:c>
      <x:c r="AF33" s="32" t="str">
        <x:f>IF(AE33="","",AE33*I33)</x:f>
      </x:c>
      <x:c r="AG33" s="34" t="str">
        <x:f>IF(A33="","",ROUND((MIN(5,AE33/1000)*25+MIN(5,AF33/100000)*25+R33*15+S33*10+T33*10+U33*10+V33*5)/5,1))</x:f>
      </x:c>
      <x:c r="AH33" s="34" t="str">
        <x:f>IF(A33="","",ROUND(((K33*5)+(L33*5)+IF(M33="Strong",25,IF(M33="Partial",15,5))+IF(N33="Stable",20,IF(N33="Mixed",12,5))+O33*5+P33*5+Q33*5-W33*2)/5,1))</x:f>
      </x:c>
      <x:c r="AI33" s="34" t="str">
        <x:f>IF(A33="","",ROUND((AA33*25+AB33*25+AC33*25+AD33*25)/5,1))</x:f>
      </x:c>
      <x:c r="AJ33" s="34" t="str">
        <x:f>IF(A33="","",ROUND((X33*30+Y33*30+Z33*25+AD33*15)/5,1))</x:f>
      </x:c>
      <x:c r="AK33" s="34" t="str">
        <x:f>IF(A33="","",ROUND(AG33*'Scoring Model'!$B$5+AH33*'Scoring Model'!$B$6+(100-AI33)*'Scoring Model'!$B$7+(100-AJ33)*'Scoring Model'!$B$8,1))</x:f>
      </x:c>
      <x:c r="AL33" s="16" t="str">
        <x:f>IF(A33="","",IF(OR(AA33=5,AB33=5,AC33=5),"Pilot with Controls",IF(AK33&gt;=75,"Do Now",IF(AK33&gt;=60,"Pilot with Controls",IF(AK33&gt;=45,"Prepare / Remediate","Defer")))))</x:f>
      </x:c>
      <x:c r="AM33" s="16" t="str">
        <x:f>IF(A33="","",IF(OR(AA33=5,AB33=5,AC33=5),"Enhanced risk, testing, human oversight and approval required",IF(AJ33&gt;=70,"Resolve architecture / vendor dependencies before commitment","Standard lifecycle controls")))</x:f>
      </x:c>
      <x:c r="AN33" s="16"/>
      <x:c r="AO33" s="36"/>
      <x:c r="AP33" s="16" t="str">
        <x:f>IF(A33="","","Draft")</x:f>
      </x:c>
    </x:row>
    <x:row r="34">
      <x:c r="A34" s="27" t="str"/>
      <x:c r="B34" s="27" t="str"/>
      <x:c r="C34" s="27" t="str"/>
      <x:c r="D34" s="27" t="str"/>
      <x:c r="E34" s="27" t="str"/>
      <x:c r="F34" s="27" t="str"/>
      <x:c r="G34" s="29" t="str"/>
      <x:c r="H34" s="29" t="str"/>
      <x:c r="I34" s="29" t="str"/>
      <x:c r="J34" s="31" t="str"/>
      <x:c r="K34" s="31" t="str"/>
      <x:c r="L34" s="31" t="str"/>
      <x:c r="M34" s="27" t="str"/>
      <x:c r="N34" s="27" t="str"/>
      <x:c r="O34" s="27" t="str"/>
      <x:c r="P34" s="27" t="str"/>
      <x:c r="Q34" s="27" t="str"/>
      <x:c r="R34" s="27" t="str"/>
      <x:c r="S34" s="27" t="str"/>
      <x:c r="T34" s="27" t="str"/>
      <x:c r="U34" s="27" t="str"/>
      <x:c r="V34" s="27" t="str"/>
      <x:c r="W34" s="27" t="str"/>
      <x:c r="X34" s="27" t="str"/>
      <x:c r="Y34" s="27" t="str"/>
      <x:c r="Z34" s="27" t="str"/>
      <x:c r="AA34" s="27" t="str"/>
      <x:c r="AB34" s="27" t="str"/>
      <x:c r="AC34" s="27" t="str"/>
      <x:c r="AD34" s="27" t="str"/>
      <x:c r="AE34" s="33" t="str">
        <x:f>IF(OR(G34="",H34=""),"",G34*12*H34/60)</x:f>
      </x:c>
      <x:c r="AF34" s="33" t="str">
        <x:f>IF(AE34="","",AE34*I34)</x:f>
      </x:c>
      <x:c r="AG34" s="35" t="str">
        <x:f>IF(A34="","",ROUND((MIN(5,AE34/1000)*25+MIN(5,AF34/100000)*25+R34*15+S34*10+T34*10+U34*10+V34*5)/5,1))</x:f>
      </x:c>
      <x:c r="AH34" s="35" t="str">
        <x:f>IF(A34="","",ROUND(((K34*5)+(L34*5)+IF(M34="Strong",25,IF(M34="Partial",15,5))+IF(N34="Stable",20,IF(N34="Mixed",12,5))+O34*5+P34*5+Q34*5-W34*2)/5,1))</x:f>
      </x:c>
      <x:c r="AI34" s="35" t="str">
        <x:f>IF(A34="","",ROUND((AA34*25+AB34*25+AC34*25+AD34*25)/5,1))</x:f>
      </x:c>
      <x:c r="AJ34" s="35" t="str">
        <x:f>IF(A34="","",ROUND((X34*30+Y34*30+Z34*25+AD34*15)/5,1))</x:f>
      </x:c>
      <x:c r="AK34" s="35" t="str">
        <x:f>IF(A34="","",ROUND(AG34*'Scoring Model'!$B$5+AH34*'Scoring Model'!$B$6+(100-AI34)*'Scoring Model'!$B$7+(100-AJ34)*'Scoring Model'!$B$8,1))</x:f>
      </x:c>
      <x:c r="AL34" s="17" t="str">
        <x:f>IF(A34="","",IF(OR(AA34=5,AB34=5,AC34=5),"Pilot with Controls",IF(AK34&gt;=75,"Do Now",IF(AK34&gt;=60,"Pilot with Controls",IF(AK34&gt;=45,"Prepare / Remediate","Defer")))))</x:f>
      </x:c>
      <x:c r="AM34" s="17" t="str">
        <x:f>IF(A34="","",IF(OR(AA34=5,AB34=5,AC34=5),"Enhanced risk, testing, human oversight and approval required",IF(AJ34&gt;=70,"Resolve architecture / vendor dependencies before commitment","Standard lifecycle controls")))</x:f>
      </x:c>
      <x:c r="AN34" s="17"/>
      <x:c r="AO34" s="37"/>
      <x:c r="AP34" s="17" t="str">
        <x:f>IF(A34="","","Draft")</x:f>
      </x:c>
    </x:row>
  </x:sheetData>
  <x:mergeCells>
    <x:mergeCell ref="A1:AP1"/>
    <x:mergeCell ref="A2:AP2"/>
  </x:mergeCells>
  <x:conditionalFormatting sqref="AG5:AK34">
    <x:cfRule type="colorScale" priority="1">
      <x:colorScale>
        <x:cfvo type="min"/>
        <x:cfvo type="percentile" val="50"/>
        <x:cfvo type="max"/>
        <x:color rgb="FFF2DDDC"/>
        <x:color rgb="FFF5E9D5"/>
        <x:color rgb="FFDDECE4"/>
      </x:colorScale>
    </x:cfRule>
  </x:conditionalFormatting>
  <x:conditionalFormatting sqref="AL5:AL34">
    <x:cfRule type="containsText" dxfId="0" priority="2" operator="containsText" text="Do Now"/>
    <x:cfRule type="containsText" dxfId="1" priority="3" operator="containsText" text="Pilot"/>
    <x:cfRule type="containsText" dxfId="2" priority="4" operator="containsText" text="Defer"/>
  </x:conditionalFormatting>
  <x:dataValidations count="20">
    <x:dataValidation type="list" sqref="E5:E34">
      <x:formula1>"RPA,Workflow / API,AI Assist,Decision AI,Agentic AI,Hybrid AI + RPA"</x:formula1>
    </x:dataValidation>
    <x:dataValidation type="list" sqref="M5:M34">
      <x:formula1>"None,Partial,Strong"</x:formula1>
    </x:dataValidation>
    <x:dataValidation type="list" sqref="N5:N34">
      <x:formula1>"Changing,Mixed,Stable"</x:formula1>
    </x:dataValidation>
    <x:dataValidation type="list" sqref="O5:O34">
      <x:formula1>"1,2,3,4,5"</x:formula1>
    </x:dataValidation>
    <x:dataValidation type="list" sqref="P5:P34">
      <x:formula1>"1,2,3,4,5"</x:formula1>
    </x:dataValidation>
    <x:dataValidation type="list" sqref="Q5:Q34">
      <x:formula1>"1,2,3,4,5"</x:formula1>
    </x:dataValidation>
    <x:dataValidation type="list" sqref="R5:R34">
      <x:formula1>"1,2,3,4,5"</x:formula1>
    </x:dataValidation>
    <x:dataValidation type="list" sqref="S5:S34">
      <x:formula1>"1,2,3,4,5"</x:formula1>
    </x:dataValidation>
    <x:dataValidation type="list" sqref="T5:T34">
      <x:formula1>"1,2,3,4,5"</x:formula1>
    </x:dataValidation>
    <x:dataValidation type="list" sqref="U5:U34">
      <x:formula1>"1,2,3,4,5"</x:formula1>
    </x:dataValidation>
    <x:dataValidation type="list" sqref="V5:V34">
      <x:formula1>"1,2,3,4,5"</x:formula1>
    </x:dataValidation>
    <x:dataValidation type="list" sqref="W5:W34">
      <x:formula1>"1,2,3,4,5"</x:formula1>
    </x:dataValidation>
    <x:dataValidation type="list" sqref="X5:X34">
      <x:formula1>"1,2,3,4,5"</x:formula1>
    </x:dataValidation>
    <x:dataValidation type="list" sqref="Y5:Y34">
      <x:formula1>"1,2,3,4,5"</x:formula1>
    </x:dataValidation>
    <x:dataValidation type="list" sqref="Z5:Z34">
      <x:formula1>"1,2,3,4,5"</x:formula1>
    </x:dataValidation>
    <x:dataValidation type="list" sqref="AA5:AA34">
      <x:formula1>"1,2,3,4,5"</x:formula1>
    </x:dataValidation>
    <x:dataValidation type="list" sqref="AB5:AB34">
      <x:formula1>"1,2,3,4,5"</x:formula1>
    </x:dataValidation>
    <x:dataValidation type="list" sqref="AC5:AC34">
      <x:formula1>"1,2,3,4,5"</x:formula1>
    </x:dataValidation>
    <x:dataValidation type="list" sqref="AD5:AD34">
      <x:formula1>"1,2,3,4,5"</x:formula1>
    </x:dataValidation>
    <x:dataValidation type="list" sqref="AP5:AP34">
      <x:formula1>"Draft,Under Review,Approved,Pilot,Production,Deferred,Rejected"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823238adb846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38" hidden="0" customWidth="1"/>
    <x:col min="4" max="4" width="32" hidden="0" customWidth="1"/>
    <x:col min="5" max="5" width="28" hidden="0" customWidth="1"/>
    <x:col min="6" max="6" width="30" hidden="0" customWidth="1"/>
    <x:col min="7" max="7" width="20" hidden="0" customWidth="1"/>
  </x:cols>
  <x:sheetData>
    <x:row r="1" ht="32" customHeight="1">
      <x:c r="A1" s="3" t="str">
        <x:v>Scoring Model &amp; Guidance</x:v>
      </x:c>
      <x:c r="B1" s="3"/>
      <x:c r="C1" s="3"/>
      <x:c r="D1" s="3"/>
      <x:c r="E1" s="3"/>
      <x:c r="F1" s="3"/>
      <x:c r="G1" s="3"/>
    </x:row>
    <x:row r="2" ht="30" customHeight="1">
      <x:c r="A2" s="6" t="str">
        <x:v>Adjust the four portfolio weights below. Input ratings use a 1–5 scale; formulas normalize outputs to 0–100.</x:v>
      </x:c>
      <x:c r="B2" s="6"/>
      <x:c r="C2" s="6"/>
      <x:c r="D2" s="6"/>
      <x:c r="E2" s="6"/>
      <x:c r="F2" s="6"/>
      <x:c r="G2" s="6"/>
    </x:row>
    <x:row r="4">
      <x:c r="A4" s="11" t="str">
        <x:v>Dimension</x:v>
      </x:c>
      <x:c r="B4" s="11" t="str">
        <x:v>Weight</x:v>
      </x:c>
      <x:c r="C4" s="11" t="str">
        <x:v>What it measures</x:v>
      </x:c>
      <x:c r="D4" s="11" t="str">
        <x:v>1 — Low</x:v>
      </x:c>
      <x:c r="E4" s="11" t="str">
        <x:v>3 — Moderate</x:v>
      </x:c>
      <x:c r="F4" s="11" t="str">
        <x:v>5 — High</x:v>
      </x:c>
      <x:c r="G4" s="11" t="str">
        <x:v>Decision use</x:v>
      </x:c>
    </x:row>
    <x:row r="5">
      <x:c r="A5" s="16" t="str">
        <x:v>Value</x:v>
      </x:c>
      <x:c r="B5" s="30" t="n">
        <x:v>0.35</x:v>
      </x:c>
      <x:c r="C5" s="16" t="str">
        <x:v>Capacity, cost, quality, customer, employee, compliance and urgency</x:v>
      </x:c>
      <x:c r="D5" s="16" t="str">
        <x:v>Limited local benefit</x:v>
      </x:c>
      <x:c r="E5" s="16" t="str">
        <x:v>Material team benefit</x:v>
      </x:c>
      <x:c r="F5" s="16" t="str">
        <x:v>Enterprise / mission critical benefit</x:v>
      </x:c>
      <x:c r="G5" s="16" t="str">
        <x:v>Prioritizes outcomes</x:v>
      </x:c>
    </x:row>
    <x:row r="6">
      <x:c r="A6" s="16" t="str">
        <x:v>Feasibility</x:v>
      </x:c>
      <x:c r="B6" s="30" t="n">
        <x:v>0.25</x:v>
      </x:c>
      <x:c r="C6" s="16" t="str">
        <x:v>Rules, data, APIs, UI stability, maturity, readiness and effort</x:v>
      </x:c>
      <x:c r="D6" s="16" t="str">
        <x:v>Unclear / unstable</x:v>
      </x:c>
      <x:c r="E6" s="16" t="str">
        <x:v>Some remediation</x:v>
      </x:c>
      <x:c r="F6" s="16" t="str">
        <x:v>Ready and repeatable</x:v>
      </x:c>
      <x:c r="G6" s="16" t="str">
        <x:v>Tests delivery practicality</x:v>
      </x:c>
    </x:row>
    <x:row r="7">
      <x:c r="A7" s="16" t="str">
        <x:v>Risk-adjusted fit</x:v>
      </x:c>
      <x:c r="B7" s="30" t="n">
        <x:v>0.2</x:v>
      </x:c>
      <x:c r="C7" s="16" t="str">
        <x:v>Security, privacy, model/decision and resilience exposure</x:v>
      </x:c>
      <x:c r="D7" s="16" t="str">
        <x:v>Very high exposure</x:v>
      </x:c>
      <x:c r="E7" s="16" t="str">
        <x:v>Manageable with controls</x:v>
      </x:c>
      <x:c r="F7" s="16" t="str">
        <x:v>Low exposure</x:v>
      </x:c>
      <x:c r="G7" s="16" t="str">
        <x:v>Prevents value-only selection</x:v>
      </x:c>
    </x:row>
    <x:row r="8">
      <x:c r="A8" s="17" t="str">
        <x:v>Dependency-adjusted fit</x:v>
      </x:c>
      <x:c r="B8" s="31" t="n">
        <x:v>0.2</x:v>
      </x:c>
      <x:c r="C8" s="17" t="str">
        <x:v>Effort, integration, vendor and change dependencies</x:v>
      </x:c>
      <x:c r="D8" s="17" t="str">
        <x:v>Multiple critical blockers</x:v>
      </x:c>
      <x:c r="E8" s="17" t="str">
        <x:v>Manageable dependencies</x:v>
      </x:c>
      <x:c r="F8" s="17" t="str">
        <x:v>Low dependency / native fit</x:v>
      </x:c>
      <x:c r="G8" s="17" t="str">
        <x:v>Protects architecture alignment</x:v>
      </x:c>
    </x:row>
    <x:row r="10">
      <x:c r="A10" s="40" t="str">
        <x:v>Weight check</x:v>
      </x:c>
      <x:c r="B10" s="41" t="n">
        <x:f>SUM(B5:B8)</x:f>
        <x:v>1</x:v>
      </x:c>
    </x:row>
    <x:row r="12">
      <x:c r="A12" s="11" t="str">
        <x:v>Recommendation</x:v>
      </x:c>
      <x:c r="B12" s="11" t="str">
        <x:v>Priority threshold</x:v>
      </x:c>
      <x:c r="C12" s="11" t="str">
        <x:v>Required interpretation</x:v>
      </x:c>
      <x:c r="D12" s="11" t="str">
        <x:v>Risk override</x:v>
      </x:c>
      <x:c r="E12" s="11" t="str">
        <x:v>Typical next step</x:v>
      </x:c>
      <x:c r="F12" s="11" t="str">
        <x:v>Evidence</x:v>
      </x:c>
      <x:c r="G12" s="11" t="str">
        <x:v>Owner</x:v>
      </x:c>
    </x:row>
    <x:row r="13">
      <x:c r="A13" s="16" t="str">
        <x:v>Do Now</x:v>
      </x:c>
      <x:c r="B13" s="16" t="n">
        <x:v>75</x:v>
      </x:c>
      <x:c r="C13" s="16" t="str">
        <x:v>Strong value and readiness with acceptable exposure</x:v>
      </x:c>
      <x:c r="D13" s="16" t="str">
        <x:v>Any risk=5 changes result to Pilot with Controls</x:v>
      </x:c>
      <x:c r="E13" s="16" t="str">
        <x:v>Approve discovery / delivery</x:v>
      </x:c>
      <x:c r="F13" s="16" t="str">
        <x:v>Business case + gate evidence</x:v>
      </x:c>
      <x:c r="G13" s="16" t="str">
        <x:v>Governance forum</x:v>
      </x:c>
    </x:row>
    <x:row r="14">
      <x:c r="A14" s="16" t="str">
        <x:v>Pilot with Controls</x:v>
      </x:c>
      <x:c r="B14" s="16" t="n">
        <x:v>60</x:v>
      </x:c>
      <x:c r="C14" s="16" t="str">
        <x:v>Promising but uncertainty or high-risk condition remains</x:v>
      </x:c>
      <x:c r="D14" s="16" t="str">
        <x:v>Mandatory enhanced controls</x:v>
      </x:c>
      <x:c r="E14" s="16" t="str">
        <x:v>Time-boxed pilot</x:v>
      </x:c>
      <x:c r="F14" s="16" t="str">
        <x:v>Test plan + risk acceptance</x:v>
      </x:c>
      <x:c r="G14" s="16" t="str">
        <x:v>Business + Risk</x:v>
      </x:c>
    </x:row>
    <x:row r="15">
      <x:c r="A15" s="16" t="str">
        <x:v>Prepare / Remediate</x:v>
      </x:c>
      <x:c r="B15" s="16" t="n">
        <x:v>45</x:v>
      </x:c>
      <x:c r="C15" s="16" t="str">
        <x:v>Value exists but readiness or dependencies constrain delivery</x:v>
      </x:c>
      <x:c r="D15" s="16" t="str">
        <x:v>Resolve blockers first</x:v>
      </x:c>
      <x:c r="E15" s="16" t="str">
        <x:v>Data/process/architecture remediation</x:v>
      </x:c>
      <x:c r="F15" s="16" t="str">
        <x:v>Remediation plan</x:v>
      </x:c>
      <x:c r="G15" s="16" t="str">
        <x:v>Capability owner</x:v>
      </x:c>
    </x:row>
    <x:row r="16">
      <x:c r="A16" s="17" t="str">
        <x:v>Defer</x:v>
      </x:c>
      <x:c r="B16" s="17" t="n">
        <x:v>0</x:v>
      </x:c>
      <x:c r="C16" s="17" t="str">
        <x:v>Weak case or disproportionate complexity</x:v>
      </x:c>
      <x:c r="D16" s="17" t="str">
        <x:v>Do not bypass</x:v>
      </x:c>
      <x:c r="E16" s="17" t="str">
        <x:v>Reassess after material change</x:v>
      </x:c>
      <x:c r="F16" s="17" t="str">
        <x:v>Decision rationale</x:v>
      </x:c>
      <x:c r="G16" s="17" t="str">
        <x:v>Portfolio owner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42" hidden="0" customWidth="1"/>
    <x:col min="4" max="4" width="16" hidden="0" customWidth="1"/>
    <x:col min="5" max="5" width="15" hidden="0" customWidth="1"/>
    <x:col min="6" max="6" width="14" hidden="0" customWidth="1"/>
    <x:col min="7" max="7" width="42" hidden="0" customWidth="1"/>
    <x:col min="8" max="8" width="20" hidden="0" customWidth="1"/>
    <x:col min="9" max="9" width="18" hidden="0" customWidth="1"/>
    <x:col min="10" max="10" width="16" hidden="0" customWidth="1"/>
    <x:col min="11" max="11" width="14" hidden="0" customWidth="1"/>
    <x:col min="12" max="12" width="35" hidden="0" customWidth="1"/>
  </x:cols>
  <x:sheetData>
    <x:row r="1" ht="32" customHeight="1">
      <x:c r="A1" s="3" t="str">
        <x:v>Risk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6" t="str">
        <x:v>Complete a focused risk record for every shortlisted AI, RPA or hybrid initiative. Link evidence and define the treatment owner.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1" t="str">
        <x:v>Opportunity ID</x:v>
      </x:c>
      <x:c r="B4" s="11" t="str">
        <x:v>Risk Domain</x:v>
      </x:c>
      <x:c r="C4" s="11" t="str">
        <x:v>Risk Statement</x:v>
      </x:c>
      <x:c r="D4" s="11" t="str">
        <x:v>Likelihood (1–5)</x:v>
      </x:c>
      <x:c r="E4" s="11" t="str">
        <x:v>Impact (1–5)</x:v>
      </x:c>
      <x:c r="F4" s="11" t="str">
        <x:v>Inherent Risk</x:v>
      </x:c>
      <x:c r="G4" s="11" t="str">
        <x:v>Control / Treatment</x:v>
      </x:c>
      <x:c r="H4" s="11" t="str">
        <x:v>Control Owner</x:v>
      </x:c>
      <x:c r="I4" s="11" t="str">
        <x:v>Residual Likelihood</x:v>
      </x:c>
      <x:c r="J4" s="11" t="str">
        <x:v>Residual Impact</x:v>
      </x:c>
      <x:c r="K4" s="11" t="str">
        <x:v>Residual Risk</x:v>
      </x:c>
      <x:c r="L4" s="11" t="str">
        <x:v>Evidence / Decision Link</x:v>
      </x:c>
    </x:row>
    <x:row r="5">
      <x:c r="A5" s="27"/>
      <x:c r="B5" s="27"/>
      <x:c r="C5" s="27"/>
      <x:c r="D5" s="27"/>
      <x:c r="E5" s="27"/>
      <x:c r="F5" t="str">
        <x:f>IF(OR(D5="",E5=""),"",D5*E5)</x:f>
      </x:c>
      <x:c r="G5" s="27"/>
      <x:c r="H5" s="27"/>
      <x:c r="I5" s="27"/>
      <x:c r="J5" s="27"/>
      <x:c r="K5" t="str">
        <x:f>IF(OR(I5="",J5=""),"",I5*J5)</x:f>
      </x:c>
      <x:c r="L5" s="27"/>
    </x:row>
    <x:row r="6">
      <x:c r="A6" s="27"/>
      <x:c r="B6" s="27"/>
      <x:c r="C6" s="27"/>
      <x:c r="D6" s="27"/>
      <x:c r="E6" s="27"/>
      <x:c r="F6" t="str">
        <x:f>IF(OR(D6="",E6=""),"",D6*E6)</x:f>
      </x:c>
      <x:c r="G6" s="27"/>
      <x:c r="H6" s="27"/>
      <x:c r="I6" s="27"/>
      <x:c r="J6" s="27"/>
      <x:c r="K6" t="str">
        <x:f>IF(OR(I6="",J6=""),"",I6*J6)</x:f>
      </x:c>
      <x:c r="L6" s="27"/>
    </x:row>
    <x:row r="7">
      <x:c r="A7" s="27"/>
      <x:c r="B7" s="27"/>
      <x:c r="C7" s="27"/>
      <x:c r="D7" s="27"/>
      <x:c r="E7" s="27"/>
      <x:c r="F7" t="str">
        <x:f>IF(OR(D7="",E7=""),"",D7*E7)</x:f>
      </x:c>
      <x:c r="G7" s="27"/>
      <x:c r="H7" s="27"/>
      <x:c r="I7" s="27"/>
      <x:c r="J7" s="27"/>
      <x:c r="K7" t="str">
        <x:f>IF(OR(I7="",J7=""),"",I7*J7)</x:f>
      </x:c>
      <x:c r="L7" s="27"/>
    </x:row>
    <x:row r="8">
      <x:c r="A8" s="27"/>
      <x:c r="B8" s="27"/>
      <x:c r="C8" s="27"/>
      <x:c r="D8" s="27"/>
      <x:c r="E8" s="27"/>
      <x:c r="F8" t="str">
        <x:f>IF(OR(D8="",E8=""),"",D8*E8)</x:f>
      </x:c>
      <x:c r="G8" s="27"/>
      <x:c r="H8" s="27"/>
      <x:c r="I8" s="27"/>
      <x:c r="J8" s="27"/>
      <x:c r="K8" t="str">
        <x:f>IF(OR(I8="",J8=""),"",I8*J8)</x:f>
      </x:c>
      <x:c r="L8" s="27"/>
    </x:row>
    <x:row r="9">
      <x:c r="A9" s="27"/>
      <x:c r="B9" s="27"/>
      <x:c r="C9" s="27"/>
      <x:c r="D9" s="27"/>
      <x:c r="E9" s="27"/>
      <x:c r="F9" t="str">
        <x:f>IF(OR(D9="",E9=""),"",D9*E9)</x:f>
      </x:c>
      <x:c r="G9" s="27"/>
      <x:c r="H9" s="27"/>
      <x:c r="I9" s="27"/>
      <x:c r="J9" s="27"/>
      <x:c r="K9" t="str">
        <x:f>IF(OR(I9="",J9=""),"",I9*J9)</x:f>
      </x:c>
      <x:c r="L9" s="27"/>
    </x:row>
    <x:row r="10">
      <x:c r="A10" s="27"/>
      <x:c r="B10" s="27"/>
      <x:c r="C10" s="27"/>
      <x:c r="D10" s="27"/>
      <x:c r="E10" s="27"/>
      <x:c r="F10" t="str">
        <x:f>IF(OR(D10="",E10=""),"",D10*E10)</x:f>
      </x:c>
      <x:c r="G10" s="27"/>
      <x:c r="H10" s="27"/>
      <x:c r="I10" s="27"/>
      <x:c r="J10" s="27"/>
      <x:c r="K10" t="str">
        <x:f>IF(OR(I10="",J10=""),"",I10*J10)</x:f>
      </x:c>
      <x:c r="L10" s="27"/>
    </x:row>
    <x:row r="11">
      <x:c r="A11" s="27"/>
      <x:c r="B11" s="27"/>
      <x:c r="C11" s="27"/>
      <x:c r="D11" s="27"/>
      <x:c r="E11" s="27"/>
      <x:c r="F11" t="str">
        <x:f>IF(OR(D11="",E11=""),"",D11*E11)</x:f>
      </x:c>
      <x:c r="G11" s="27"/>
      <x:c r="H11" s="27"/>
      <x:c r="I11" s="27"/>
      <x:c r="J11" s="27"/>
      <x:c r="K11" t="str">
        <x:f>IF(OR(I11="",J11=""),"",I11*J11)</x:f>
      </x:c>
      <x:c r="L11" s="27"/>
    </x:row>
    <x:row r="12">
      <x:c r="A12" s="27"/>
      <x:c r="B12" s="27"/>
      <x:c r="C12" s="27"/>
      <x:c r="D12" s="27"/>
      <x:c r="E12" s="27"/>
      <x:c r="F12" t="str">
        <x:f>IF(OR(D12="",E12=""),"",D12*E12)</x:f>
      </x:c>
      <x:c r="G12" s="27"/>
      <x:c r="H12" s="27"/>
      <x:c r="I12" s="27"/>
      <x:c r="J12" s="27"/>
      <x:c r="K12" t="str">
        <x:f>IF(OR(I12="",J12=""),"",I12*J12)</x:f>
      </x:c>
      <x:c r="L12" s="27"/>
    </x:row>
    <x:row r="13">
      <x:c r="A13" s="27"/>
      <x:c r="B13" s="27"/>
      <x:c r="C13" s="27"/>
      <x:c r="D13" s="27"/>
      <x:c r="E13" s="27"/>
      <x:c r="F13" t="str">
        <x:f>IF(OR(D13="",E13=""),"",D13*E13)</x:f>
      </x:c>
      <x:c r="G13" s="27"/>
      <x:c r="H13" s="27"/>
      <x:c r="I13" s="27"/>
      <x:c r="J13" s="27"/>
      <x:c r="K13" t="str">
        <x:f>IF(OR(I13="",J13=""),"",I13*J13)</x:f>
      </x:c>
      <x:c r="L13" s="27"/>
    </x:row>
    <x:row r="14">
      <x:c r="A14" s="27"/>
      <x:c r="B14" s="27"/>
      <x:c r="C14" s="27"/>
      <x:c r="D14" s="27"/>
      <x:c r="E14" s="27"/>
      <x:c r="F14" t="str">
        <x:f>IF(OR(D14="",E14=""),"",D14*E14)</x:f>
      </x:c>
      <x:c r="G14" s="27"/>
      <x:c r="H14" s="27"/>
      <x:c r="I14" s="27"/>
      <x:c r="J14" s="27"/>
      <x:c r="K14" t="str">
        <x:f>IF(OR(I14="",J14=""),"",I14*J14)</x:f>
      </x:c>
      <x:c r="L14" s="27"/>
    </x:row>
    <x:row r="15">
      <x:c r="A15" s="27"/>
      <x:c r="B15" s="27"/>
      <x:c r="C15" s="27"/>
      <x:c r="D15" s="27"/>
      <x:c r="E15" s="27"/>
      <x:c r="F15" t="str">
        <x:f>IF(OR(D15="",E15=""),"",D15*E15)</x:f>
      </x:c>
      <x:c r="G15" s="27"/>
      <x:c r="H15" s="27"/>
      <x:c r="I15" s="27"/>
      <x:c r="J15" s="27"/>
      <x:c r="K15" t="str">
        <x:f>IF(OR(I15="",J15=""),"",I15*J15)</x:f>
      </x:c>
      <x:c r="L15" s="27"/>
    </x:row>
    <x:row r="16">
      <x:c r="A16" s="27"/>
      <x:c r="B16" s="27"/>
      <x:c r="C16" s="27"/>
      <x:c r="D16" s="27"/>
      <x:c r="E16" s="27"/>
      <x:c r="F16" t="str">
        <x:f>IF(OR(D16="",E16=""),"",D16*E16)</x:f>
      </x:c>
      <x:c r="G16" s="27"/>
      <x:c r="H16" s="27"/>
      <x:c r="I16" s="27"/>
      <x:c r="J16" s="27"/>
      <x:c r="K16" t="str">
        <x:f>IF(OR(I16="",J16=""),"",I16*J16)</x:f>
      </x:c>
      <x:c r="L16" s="27"/>
    </x:row>
    <x:row r="17">
      <x:c r="A17" s="27"/>
      <x:c r="B17" s="27"/>
      <x:c r="C17" s="27"/>
      <x:c r="D17" s="27"/>
      <x:c r="E17" s="27"/>
      <x:c r="F17" t="str">
        <x:f>IF(OR(D17="",E17=""),"",D17*E17)</x:f>
      </x:c>
      <x:c r="G17" s="27"/>
      <x:c r="H17" s="27"/>
      <x:c r="I17" s="27"/>
      <x:c r="J17" s="27"/>
      <x:c r="K17" t="str">
        <x:f>IF(OR(I17="",J17=""),"",I17*J17)</x:f>
      </x:c>
      <x:c r="L17" s="27"/>
    </x:row>
    <x:row r="18">
      <x:c r="A18" s="27"/>
      <x:c r="B18" s="27"/>
      <x:c r="C18" s="27"/>
      <x:c r="D18" s="27"/>
      <x:c r="E18" s="27"/>
      <x:c r="F18" t="str">
        <x:f>IF(OR(D18="",E18=""),"",D18*E18)</x:f>
      </x:c>
      <x:c r="G18" s="27"/>
      <x:c r="H18" s="27"/>
      <x:c r="I18" s="27"/>
      <x:c r="J18" s="27"/>
      <x:c r="K18" t="str">
        <x:f>IF(OR(I18="",J18=""),"",I18*J18)</x:f>
      </x:c>
      <x:c r="L18" s="27"/>
    </x:row>
    <x:row r="19">
      <x:c r="A19" s="27"/>
      <x:c r="B19" s="27"/>
      <x:c r="C19" s="27"/>
      <x:c r="D19" s="27"/>
      <x:c r="E19" s="27"/>
      <x:c r="F19" t="str">
        <x:f>IF(OR(D19="",E19=""),"",D19*E19)</x:f>
      </x:c>
      <x:c r="G19" s="27"/>
      <x:c r="H19" s="27"/>
      <x:c r="I19" s="27"/>
      <x:c r="J19" s="27"/>
      <x:c r="K19" t="str">
        <x:f>IF(OR(I19="",J19=""),"",I19*J19)</x:f>
      </x:c>
      <x:c r="L19" s="27"/>
    </x:row>
    <x:row r="20">
      <x:c r="A20" s="27"/>
      <x:c r="B20" s="27"/>
      <x:c r="C20" s="27"/>
      <x:c r="D20" s="27"/>
      <x:c r="E20" s="27"/>
      <x:c r="F20" t="str">
        <x:f>IF(OR(D20="",E20=""),"",D20*E20)</x:f>
      </x:c>
      <x:c r="G20" s="27"/>
      <x:c r="H20" s="27"/>
      <x:c r="I20" s="27"/>
      <x:c r="J20" s="27"/>
      <x:c r="K20" t="str">
        <x:f>IF(OR(I20="",J20=""),"",I20*J20)</x:f>
      </x:c>
      <x:c r="L20" s="27"/>
    </x:row>
    <x:row r="21">
      <x:c r="A21" s="27"/>
      <x:c r="B21" s="27"/>
      <x:c r="C21" s="27"/>
      <x:c r="D21" s="27"/>
      <x:c r="E21" s="27"/>
      <x:c r="F21" t="str">
        <x:f>IF(OR(D21="",E21=""),"",D21*E21)</x:f>
      </x:c>
      <x:c r="G21" s="27"/>
      <x:c r="H21" s="27"/>
      <x:c r="I21" s="27"/>
      <x:c r="J21" s="27"/>
      <x:c r="K21" t="str">
        <x:f>IF(OR(I21="",J21=""),"",I21*J21)</x:f>
      </x:c>
      <x:c r="L21" s="27"/>
    </x:row>
    <x:row r="22">
      <x:c r="A22" s="27"/>
      <x:c r="B22" s="27"/>
      <x:c r="C22" s="27"/>
      <x:c r="D22" s="27"/>
      <x:c r="E22" s="27"/>
      <x:c r="F22" t="str">
        <x:f>IF(OR(D22="",E22=""),"",D22*E22)</x:f>
      </x:c>
      <x:c r="G22" s="27"/>
      <x:c r="H22" s="27"/>
      <x:c r="I22" s="27"/>
      <x:c r="J22" s="27"/>
      <x:c r="K22" t="str">
        <x:f>IF(OR(I22="",J22=""),"",I22*J22)</x:f>
      </x:c>
      <x:c r="L22" s="27"/>
    </x:row>
    <x:row r="23">
      <x:c r="A23" s="27"/>
      <x:c r="B23" s="27"/>
      <x:c r="C23" s="27"/>
      <x:c r="D23" s="27"/>
      <x:c r="E23" s="27"/>
      <x:c r="F23" t="str">
        <x:f>IF(OR(D23="",E23=""),"",D23*E23)</x:f>
      </x:c>
      <x:c r="G23" s="27"/>
      <x:c r="H23" s="27"/>
      <x:c r="I23" s="27"/>
      <x:c r="J23" s="27"/>
      <x:c r="K23" t="str">
        <x:f>IF(OR(I23="",J23=""),"",I23*J23)</x:f>
      </x:c>
      <x:c r="L23" s="27"/>
    </x:row>
    <x:row r="24">
      <x:c r="A24" s="27"/>
      <x:c r="B24" s="27"/>
      <x:c r="C24" s="27"/>
      <x:c r="D24" s="27"/>
      <x:c r="E24" s="27"/>
      <x:c r="F24" t="str">
        <x:f>IF(OR(D24="",E24=""),"",D24*E24)</x:f>
      </x:c>
      <x:c r="G24" s="27"/>
      <x:c r="H24" s="27"/>
      <x:c r="I24" s="27"/>
      <x:c r="J24" s="27"/>
      <x:c r="K24" t="str">
        <x:f>IF(OR(I24="",J24=""),"",I24*J24)</x:f>
      </x:c>
      <x:c r="L24" s="27"/>
    </x:row>
    <x:row r="25">
      <x:c r="A25" s="27"/>
      <x:c r="B25" s="27"/>
      <x:c r="C25" s="27"/>
      <x:c r="D25" s="27"/>
      <x:c r="E25" s="27"/>
      <x:c r="F25" t="str">
        <x:f>IF(OR(D25="",E25=""),"",D25*E25)</x:f>
      </x:c>
      <x:c r="G25" s="27"/>
      <x:c r="H25" s="27"/>
      <x:c r="I25" s="27"/>
      <x:c r="J25" s="27"/>
      <x:c r="K25" t="str">
        <x:f>IF(OR(I25="",J25=""),"",I25*J25)</x:f>
      </x:c>
      <x:c r="L25" s="27"/>
    </x:row>
    <x:row r="26">
      <x:c r="A26" s="27"/>
      <x:c r="B26" s="27"/>
      <x:c r="C26" s="27"/>
      <x:c r="D26" s="27"/>
      <x:c r="E26" s="27"/>
      <x:c r="F26" t="str">
        <x:f>IF(OR(D26="",E26=""),"",D26*E26)</x:f>
      </x:c>
      <x:c r="G26" s="27"/>
      <x:c r="H26" s="27"/>
      <x:c r="I26" s="27"/>
      <x:c r="J26" s="27"/>
      <x:c r="K26" t="str">
        <x:f>IF(OR(I26="",J26=""),"",I26*J26)</x:f>
      </x:c>
      <x:c r="L26" s="27"/>
    </x:row>
    <x:row r="27">
      <x:c r="A27" s="27"/>
      <x:c r="B27" s="27"/>
      <x:c r="C27" s="27"/>
      <x:c r="D27" s="27"/>
      <x:c r="E27" s="27"/>
      <x:c r="F27" t="str">
        <x:f>IF(OR(D27="",E27=""),"",D27*E27)</x:f>
      </x:c>
      <x:c r="G27" s="27"/>
      <x:c r="H27" s="27"/>
      <x:c r="I27" s="27"/>
      <x:c r="J27" s="27"/>
      <x:c r="K27" t="str">
        <x:f>IF(OR(I27="",J27=""),"",I27*J27)</x:f>
      </x:c>
      <x:c r="L27" s="27"/>
    </x:row>
    <x:row r="28">
      <x:c r="A28" s="27"/>
      <x:c r="B28" s="27"/>
      <x:c r="C28" s="27"/>
      <x:c r="D28" s="27"/>
      <x:c r="E28" s="27"/>
      <x:c r="F28" t="str">
        <x:f>IF(OR(D28="",E28=""),"",D28*E28)</x:f>
      </x:c>
      <x:c r="G28" s="27"/>
      <x:c r="H28" s="27"/>
      <x:c r="I28" s="27"/>
      <x:c r="J28" s="27"/>
      <x:c r="K28" t="str">
        <x:f>IF(OR(I28="",J28=""),"",I28*J28)</x:f>
      </x:c>
      <x:c r="L28" s="27"/>
    </x:row>
    <x:row r="29">
      <x:c r="A29" s="27"/>
      <x:c r="B29" s="27"/>
      <x:c r="C29" s="27"/>
      <x:c r="D29" s="27"/>
      <x:c r="E29" s="27"/>
      <x:c r="F29" t="str">
        <x:f>IF(OR(D29="",E29=""),"",D29*E29)</x:f>
      </x:c>
      <x:c r="G29" s="27"/>
      <x:c r="H29" s="27"/>
      <x:c r="I29" s="27"/>
      <x:c r="J29" s="27"/>
      <x:c r="K29" t="str">
        <x:f>IF(OR(I29="",J29=""),"",I29*J29)</x:f>
      </x:c>
      <x:c r="L29" s="27"/>
    </x:row>
    <x:row r="30">
      <x:c r="A30" s="27"/>
      <x:c r="B30" s="27"/>
      <x:c r="C30" s="27"/>
      <x:c r="D30" s="27"/>
      <x:c r="E30" s="27"/>
      <x:c r="F30" t="str">
        <x:f>IF(OR(D30="",E30=""),"",D30*E30)</x:f>
      </x:c>
      <x:c r="G30" s="27"/>
      <x:c r="H30" s="27"/>
      <x:c r="I30" s="27"/>
      <x:c r="J30" s="27"/>
      <x:c r="K30" t="str">
        <x:f>IF(OR(I30="",J30=""),"",I30*J30)</x:f>
      </x:c>
      <x:c r="L30" s="27"/>
    </x:row>
    <x:row r="31">
      <x:c r="A31" s="27"/>
      <x:c r="B31" s="27"/>
      <x:c r="C31" s="27"/>
      <x:c r="D31" s="27"/>
      <x:c r="E31" s="27"/>
      <x:c r="F31" t="str">
        <x:f>IF(OR(D31="",E31=""),"",D31*E31)</x:f>
      </x:c>
      <x:c r="G31" s="27"/>
      <x:c r="H31" s="27"/>
      <x:c r="I31" s="27"/>
      <x:c r="J31" s="27"/>
      <x:c r="K31" t="str">
        <x:f>IF(OR(I31="",J31=""),"",I31*J31)</x:f>
      </x:c>
      <x:c r="L31" s="27"/>
    </x:row>
    <x:row r="32">
      <x:c r="A32" s="27"/>
      <x:c r="B32" s="27"/>
      <x:c r="C32" s="27"/>
      <x:c r="D32" s="27"/>
      <x:c r="E32" s="27"/>
      <x:c r="F32" t="str">
        <x:f>IF(OR(D32="",E32=""),"",D32*E32)</x:f>
      </x:c>
      <x:c r="G32" s="27"/>
      <x:c r="H32" s="27"/>
      <x:c r="I32" s="27"/>
      <x:c r="J32" s="27"/>
      <x:c r="K32" t="str">
        <x:f>IF(OR(I32="",J32=""),"",I32*J32)</x:f>
      </x:c>
      <x:c r="L32" s="27"/>
    </x:row>
    <x:row r="33">
      <x:c r="A33" s="27"/>
      <x:c r="B33" s="27"/>
      <x:c r="C33" s="27"/>
      <x:c r="D33" s="27"/>
      <x:c r="E33" s="27"/>
      <x:c r="F33" t="str">
        <x:f>IF(OR(D33="",E33=""),"",D33*E33)</x:f>
      </x:c>
      <x:c r="G33" s="27"/>
      <x:c r="H33" s="27"/>
      <x:c r="I33" s="27"/>
      <x:c r="J33" s="27"/>
      <x:c r="K33" t="str">
        <x:f>IF(OR(I33="",J33=""),"",I33*J33)</x:f>
      </x:c>
      <x:c r="L33" s="27"/>
    </x:row>
    <x:row r="34">
      <x:c r="A34" s="27"/>
      <x:c r="B34" s="27"/>
      <x:c r="C34" s="27"/>
      <x:c r="D34" s="27"/>
      <x:c r="E34" s="27"/>
      <x:c r="F34" t="str">
        <x:f>IF(OR(D34="",E34=""),"",D34*E34)</x:f>
      </x:c>
      <x:c r="G34" s="27"/>
      <x:c r="H34" s="27"/>
      <x:c r="I34" s="27"/>
      <x:c r="J34" s="27"/>
      <x:c r="K34" t="str">
        <x:f>IF(OR(I34="",J34=""),"",I34*J34)</x:f>
      </x:c>
      <x:c r="L34" s="27"/>
    </x:row>
    <x:row r="35">
      <x:c r="A35" s="27"/>
      <x:c r="B35" s="27"/>
      <x:c r="C35" s="27"/>
      <x:c r="D35" s="27"/>
      <x:c r="E35" s="27"/>
      <x:c r="F35" t="str">
        <x:f>IF(OR(D35="",E35=""),"",D35*E35)</x:f>
      </x:c>
      <x:c r="G35" s="27"/>
      <x:c r="H35" s="27"/>
      <x:c r="I35" s="27"/>
      <x:c r="J35" s="27"/>
      <x:c r="K35" t="str">
        <x:f>IF(OR(I35="",J35=""),"",I35*J35)</x:f>
      </x:c>
      <x:c r="L35" s="27"/>
    </x:row>
    <x:row r="36">
      <x:c r="A36" s="27"/>
      <x:c r="B36" s="27"/>
      <x:c r="C36" s="27"/>
      <x:c r="D36" s="27"/>
      <x:c r="E36" s="27"/>
      <x:c r="F36" t="str">
        <x:f>IF(OR(D36="",E36=""),"",D36*E36)</x:f>
      </x:c>
      <x:c r="G36" s="27"/>
      <x:c r="H36" s="27"/>
      <x:c r="I36" s="27"/>
      <x:c r="J36" s="27"/>
      <x:c r="K36" t="str">
        <x:f>IF(OR(I36="",J36=""),"",I36*J36)</x:f>
      </x:c>
      <x:c r="L36" s="27"/>
    </x:row>
    <x:row r="37">
      <x:c r="A37" s="27"/>
      <x:c r="B37" s="27"/>
      <x:c r="C37" s="27"/>
      <x:c r="D37" s="27"/>
      <x:c r="E37" s="27"/>
      <x:c r="F37" t="str">
        <x:f>IF(OR(D37="",E37=""),"",D37*E37)</x:f>
      </x:c>
      <x:c r="G37" s="27"/>
      <x:c r="H37" s="27"/>
      <x:c r="I37" s="27"/>
      <x:c r="J37" s="27"/>
      <x:c r="K37" t="str">
        <x:f>IF(OR(I37="",J37=""),"",I37*J37)</x:f>
      </x:c>
      <x:c r="L37" s="27"/>
    </x:row>
    <x:row r="38">
      <x:c r="A38" s="27"/>
      <x:c r="B38" s="27"/>
      <x:c r="C38" s="27"/>
      <x:c r="D38" s="27"/>
      <x:c r="E38" s="27"/>
      <x:c r="F38" t="str">
        <x:f>IF(OR(D38="",E38=""),"",D38*E38)</x:f>
      </x:c>
      <x:c r="G38" s="27"/>
      <x:c r="H38" s="27"/>
      <x:c r="I38" s="27"/>
      <x:c r="J38" s="27"/>
      <x:c r="K38" t="str">
        <x:f>IF(OR(I38="",J38=""),"",I38*J38)</x:f>
      </x:c>
      <x:c r="L38" s="27"/>
    </x:row>
    <x:row r="39">
      <x:c r="A39" s="27"/>
      <x:c r="B39" s="27"/>
      <x:c r="C39" s="27"/>
      <x:c r="D39" s="27"/>
      <x:c r="E39" s="27"/>
      <x:c r="F39" t="str">
        <x:f>IF(OR(D39="",E39=""),"",D39*E39)</x:f>
      </x:c>
      <x:c r="G39" s="27"/>
      <x:c r="H39" s="27"/>
      <x:c r="I39" s="27"/>
      <x:c r="J39" s="27"/>
      <x:c r="K39" t="str">
        <x:f>IF(OR(I39="",J39=""),"",I39*J39)</x:f>
      </x:c>
      <x:c r="L39" s="27"/>
    </x:row>
    <x:row r="40">
      <x:c r="A40" s="27"/>
      <x:c r="B40" s="27"/>
      <x:c r="C40" s="27"/>
      <x:c r="D40" s="27"/>
      <x:c r="E40" s="27"/>
      <x:c r="F40" t="str">
        <x:f>IF(OR(D40="",E40=""),"",D40*E40)</x:f>
      </x:c>
      <x:c r="G40" s="27"/>
      <x:c r="H40" s="27"/>
      <x:c r="I40" s="27"/>
      <x:c r="J40" s="27"/>
      <x:c r="K40" t="str">
        <x:f>IF(OR(I40="",J40=""),"",I40*J40)</x:f>
      </x:c>
      <x:c r="L40" s="27"/>
    </x:row>
    <x:row r="41">
      <x:c r="A41" s="27"/>
      <x:c r="B41" s="27"/>
      <x:c r="C41" s="27"/>
      <x:c r="D41" s="27"/>
      <x:c r="E41" s="27"/>
      <x:c r="F41" t="str">
        <x:f>IF(OR(D41="",E41=""),"",D41*E41)</x:f>
      </x:c>
      <x:c r="G41" s="27"/>
      <x:c r="H41" s="27"/>
      <x:c r="I41" s="27"/>
      <x:c r="J41" s="27"/>
      <x:c r="K41" t="str">
        <x:f>IF(OR(I41="",J41=""),"",I41*J41)</x:f>
      </x:c>
      <x:c r="L41" s="27"/>
    </x:row>
    <x:row r="42">
      <x:c r="A42" s="27"/>
      <x:c r="B42" s="27"/>
      <x:c r="C42" s="27"/>
      <x:c r="D42" s="27"/>
      <x:c r="E42" s="27"/>
      <x:c r="F42" t="str">
        <x:f>IF(OR(D42="",E42=""),"",D42*E42)</x:f>
      </x:c>
      <x:c r="G42" s="27"/>
      <x:c r="H42" s="27"/>
      <x:c r="I42" s="27"/>
      <x:c r="J42" s="27"/>
      <x:c r="K42" t="str">
        <x:f>IF(OR(I42="",J42=""),"",I42*J42)</x:f>
      </x:c>
      <x:c r="L42" s="27"/>
    </x:row>
    <x:row r="43">
      <x:c r="A43" s="27"/>
      <x:c r="B43" s="27"/>
      <x:c r="C43" s="27"/>
      <x:c r="D43" s="27"/>
      <x:c r="E43" s="27"/>
      <x:c r="F43" t="str">
        <x:f>IF(OR(D43="",E43=""),"",D43*E43)</x:f>
      </x:c>
      <x:c r="G43" s="27"/>
      <x:c r="H43" s="27"/>
      <x:c r="I43" s="27"/>
      <x:c r="J43" s="27"/>
      <x:c r="K43" t="str">
        <x:f>IF(OR(I43="",J43=""),"",I43*J43)</x:f>
      </x:c>
      <x:c r="L43" s="27"/>
    </x:row>
    <x:row r="44">
      <x:c r="A44" s="27"/>
      <x:c r="B44" s="27"/>
      <x:c r="C44" s="27"/>
      <x:c r="D44" s="27"/>
      <x:c r="E44" s="27"/>
      <x:c r="F44" t="str">
        <x:f>IF(OR(D44="",E44=""),"",D44*E44)</x:f>
      </x:c>
      <x:c r="G44" s="27"/>
      <x:c r="H44" s="27"/>
      <x:c r="I44" s="27"/>
      <x:c r="J44" s="27"/>
      <x:c r="K44" t="str">
        <x:f>IF(OR(I44="",J44=""),"",I44*J44)</x:f>
      </x:c>
      <x:c r="L44" s="27"/>
    </x:row>
  </x:sheetData>
  <x:mergeCells>
    <x:mergeCell ref="A1:L1"/>
    <x:mergeCell ref="A2:L2"/>
  </x:mergeCells>
  <x:conditionalFormatting sqref="F5:F44">
    <x:cfRule type="colorScale" priority="1">
      <x:colorScale>
        <x:cfvo type="min"/>
        <x:cfvo type="percentile" val="50"/>
        <x:cfvo type="max"/>
        <x:color rgb="FFF2DDDC"/>
        <x:color rgb="FFF5E9D5"/>
        <x:color rgb="FFDDECE4"/>
      </x:colorScale>
    </x:cfRule>
  </x:conditionalFormatting>
  <x:conditionalFormatting sqref="K5:K44">
    <x:cfRule type="colorScale" priority="2">
      <x:colorScale>
        <x:cfvo type="min"/>
        <x:cfvo type="percentile" val="50"/>
        <x:cfvo type="max"/>
        <x:color rgb="FFF2DDDC"/>
        <x:color rgb="FFF5E9D5"/>
        <x:color rgb="FFDDECE4"/>
      </x:colorScale>
    </x:cfRule>
  </x:conditionalFormatting>
  <x:dataValidations count="5">
    <x:dataValidation type="list" sqref="B5:B44">
      <x:formula1>"Privacy,Security,Model / Decision,Operational Resilience,Regulatory,Third Party,Data,Architecture,Change / Workforce,Financial"</x:formula1>
    </x:dataValidation>
    <x:dataValidation type="list" sqref="D5:D44">
      <x:formula1>"1,2,3,4,5"</x:formula1>
    </x:dataValidation>
    <x:dataValidation type="list" sqref="E5:E44">
      <x:formula1>"1,2,3,4,5"</x:formula1>
    </x:dataValidation>
    <x:dataValidation type="list" sqref="I5:I44">
      <x:formula1>"1,2,3,4,5"</x:formula1>
    </x:dataValidation>
    <x:dataValidation type="list" sqref="J5:J44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e7b02b26854c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30" hidden="0" customWidth="1"/>
    <x:col min="4" max="4" width="16" hidden="0" customWidth="1"/>
    <x:col min="5" max="5" width="20" hidden="0" customWidth="1"/>
    <x:col min="6" max="6" width="16" hidden="0" customWidth="1"/>
    <x:col min="7" max="7" width="24" hidden="0" customWidth="1"/>
    <x:col min="8" max="8" width="19" hidden="0" customWidth="1"/>
    <x:col min="9" max="9" width="22" hidden="0" customWidth="1"/>
    <x:col min="10" max="10" width="24" hidden="0" customWidth="1"/>
    <x:col min="11" max="11" width="20" hidden="0" customWidth="1"/>
    <x:col min="12" max="12" width="42" hidden="0" customWidth="1"/>
    <x:col min="13" max="13" width="20" hidden="0" customWidth="1"/>
  </x:cols>
  <x:sheetData>
    <x:row r="1" ht="32" customHeight="1">
      <x:c r="A1" s="3" t="str">
        <x:v>Technology Landscape &amp; Dependencies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Map the current and target environment before choosing a tool. Native fit can reduce cost and complexity, but must not override capability, control, or portability needs.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1" t="str">
        <x:v>Opportunity ID</x:v>
      </x:c>
      <x:c r="B4" s="11" t="str">
        <x:v>System / Platform</x:v>
      </x:c>
      <x:c r="C4" s="11" t="str">
        <x:v>Role in Process</x:v>
      </x:c>
      <x:c r="D4" s="11" t="str">
        <x:v>Current / Target</x:v>
      </x:c>
      <x:c r="E4" s="11" t="str">
        <x:v>Integration Method</x:v>
      </x:c>
      <x:c r="F4" s="11" t="str">
        <x:v>API Quality (1–5)</x:v>
      </x:c>
      <x:c r="G4" s="11" t="str">
        <x:v>Identity / Access</x:v>
      </x:c>
      <x:c r="H4" s="11" t="str">
        <x:v>Data Classification</x:v>
      </x:c>
      <x:c r="I4" s="11" t="str">
        <x:v>Hosting / Region</x:v>
      </x:c>
      <x:c r="J4" s="11" t="str">
        <x:v>Planned Change</x:v>
      </x:c>
      <x:c r="K4" s="11" t="str">
        <x:v>Dependency Criticality</x:v>
      </x:c>
      <x:c r="L4" s="11" t="str">
        <x:v>Mitigation / Design Decision</x:v>
      </x:c>
      <x:c r="M4" s="11" t="str">
        <x:v>Owner</x:v>
      </x:c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</x:row>
  </x:sheetData>
  <x:mergeCells>
    <x:mergeCell ref="A1:M1"/>
    <x:mergeCell ref="A2:M2"/>
  </x:mergeCells>
  <x:dataValidations count="5">
    <x:dataValidation type="list" sqref="D5:D34">
      <x:formula1>"Current,Target,Transitional,Retiring"</x:formula1>
    </x:dataValidation>
    <x:dataValidation type="list" sqref="E5:E34">
      <x:formula1>"Native connector,REST API,Event / Queue,Database,File / Batch,UI automation,Manual handoff"</x:formula1>
    </x:dataValidation>
    <x:dataValidation type="list" sqref="F5:F34">
      <x:formula1>"1,2,3,4,5"</x:formula1>
    </x:dataValidation>
    <x:dataValidation type="list" sqref="H5:H34">
      <x:formula1>"Public,Internal,Confidential,Highly Restricted"</x:formula1>
    </x:dataValidation>
    <x:dataValidation type="list" sqref="K5:K34">
      <x:formula1>"Low,Moderate,High,Critical"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629516951e4f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26" hidden="0" customWidth="1"/>
    <x:col min="5" max="5" width="14" hidden="0" customWidth="1"/>
    <x:col min="6" max="6" width="3" hidden="0" customWidth="1"/>
    <x:col min="7" max="7" width="28" hidden="0" customWidth="1"/>
    <x:col min="8" max="8" width="16" hidden="0" customWidth="1"/>
    <x:col min="9" max="9" width="3" hidden="0" customWidth="1"/>
    <x:col min="10" max="10" width="36" hidden="0" customWidth="1"/>
  </x:cols>
  <x:sheetData>
    <x:row r="1" ht="32" customHeight="1">
      <x:c r="A1" s="3" t="str">
        <x:v>Portfolio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Formula-driven portfolio view. Update Opportunity Intake and this page recalculates.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1" t="str">
        <x:v>Portfolio KPI</x:v>
      </x:c>
      <x:c r="B4" s="11" t="str">
        <x:v>Value</x:v>
      </x:c>
      <x:c r="C4" s="11" t="str"/>
      <x:c r="D4" s="11" t="str">
        <x:v>Recommendation</x:v>
      </x:c>
      <x:c r="E4" s="11" t="str">
        <x:v>Count</x:v>
      </x:c>
      <x:c r="F4" s="11" t="str"/>
      <x:c r="G4" s="11" t="str">
        <x:v>Risk / Readiness KPI</x:v>
      </x:c>
      <x:c r="H4" s="11" t="str">
        <x:v>Value</x:v>
      </x:c>
      <x:c r="I4" s="11" t="str"/>
      <x:c r="J4" s="11" t="str">
        <x:v>Interpretation</x:v>
      </x:c>
    </x:row>
    <x:row r="5">
      <x:c r="A5" s="16" t="str">
        <x:v>Total opportunities</x:v>
      </x:c>
      <x:c r="B5" s="44" t="n">
        <x:f>COUNTIF('Opportunity Intake'!$A$5:$A$34,"OP-*")</x:f>
        <x:v>0</x:v>
      </x:c>
      <x:c r="C5" s="16"/>
      <x:c r="D5" s="16" t="str">
        <x:v>Do Now</x:v>
      </x:c>
      <x:c r="E5" s="16" t="n">
        <x:f>B6</x:f>
        <x:v>0</x:v>
      </x:c>
      <x:c r="F5" s="16"/>
      <x:c r="G5" s="16" t="str">
        <x:v>Average priority</x:v>
      </x:c>
      <x:c r="H5" s="50" t="n">
        <x:f>IFERROR(AVERAGE('Opportunity Intake'!$AK$5:$AK$34),0)</x:f>
        <x:v>45.300000000000004</x:v>
      </x:c>
      <x:c r="I5" s="16"/>
      <x:c r="J5" s="16" t="str">
        <x:v>Use with risk and dependency review</x:v>
      </x:c>
    </x:row>
    <x:row r="6">
      <x:c r="A6" s="16" t="str">
        <x:v>Do Now</x:v>
      </x:c>
      <x:c r="B6" s="44" t="n">
        <x:f>COUNTIF('Opportunity Intake'!$AL$5:$AL$34,"Do Now")</x:f>
        <x:v>0</x:v>
      </x:c>
      <x:c r="C6" s="16"/>
      <x:c r="D6" s="16" t="str">
        <x:v>Pilot with Controls</x:v>
      </x:c>
      <x:c r="E6" s="16" t="n">
        <x:f>B7</x:f>
        <x:v>1</x:v>
      </x:c>
      <x:c r="F6" s="16"/>
      <x:c r="G6" s="16" t="str">
        <x:v>Average risk exposure</x:v>
      </x:c>
      <x:c r="H6" s="50" t="n">
        <x:f>IFERROR(AVERAGE('Opportunity Intake'!$AI$5:$AI$34),0)</x:f>
        <x:v>65.83333333333333</x:v>
      </x:c>
      <x:c r="I6" s="16"/>
      <x:c r="J6" s="16" t="str">
        <x:v>Higher means more control intensity</x:v>
      </x:c>
    </x:row>
    <x:row r="7">
      <x:c r="A7" s="16" t="str">
        <x:v>Pilot with Controls</x:v>
      </x:c>
      <x:c r="B7" s="44" t="n">
        <x:f>COUNTIF('Opportunity Intake'!$AL$5:$AL$34,"Pilot with Controls")</x:f>
        <x:v>1</x:v>
      </x:c>
      <x:c r="C7" s="16"/>
      <x:c r="D7" s="16" t="str">
        <x:v>Prepare / Remediate</x:v>
      </x:c>
      <x:c r="E7" s="16" t="n">
        <x:f>B8</x:f>
        <x:v>2</x:v>
      </x:c>
      <x:c r="F7" s="16"/>
      <x:c r="G7" s="16" t="str">
        <x:v>Average feasibility</x:v>
      </x:c>
      <x:c r="H7" s="50" t="n">
        <x:f>IFERROR(AVERAGE('Opportunity Intake'!$AH$5:$AH$34),0)</x:f>
        <x:v>17.983333333333334</x:v>
      </x:c>
      <x:c r="I7" s="16"/>
      <x:c r="J7" s="16" t="str">
        <x:v>Readiness, process and technology fit</x:v>
      </x:c>
    </x:row>
    <x:row r="8">
      <x:c r="A8" s="16" t="str">
        <x:v>Prepare / Remediate</x:v>
      </x:c>
      <x:c r="B8" s="44" t="n">
        <x:f>COUNTIF('Opportunity Intake'!$AL$5:$AL$34,"Prepare / Remediate")</x:f>
        <x:v>2</x:v>
      </x:c>
      <x:c r="C8" s="16"/>
      <x:c r="D8" s="16" t="str">
        <x:v>Defer</x:v>
      </x:c>
      <x:c r="E8" s="16" t="n">
        <x:f>B9</x:f>
        <x:v>3</x:v>
      </x:c>
      <x:c r="F8" s="16"/>
      <x:c r="G8" s="16" t="str">
        <x:v>High-risk opportunities</x:v>
      </x:c>
      <x:c r="H8" s="48" t="n">
        <x:f>COUNTIF('Opportunity Intake'!$AI$5:$AI$34,"&gt;=80")</x:f>
        <x:v>1</x:v>
      </x:c>
      <x:c r="I8" s="16"/>
      <x:c r="J8" s="16" t="str">
        <x:v>Any risk dimension rated 5</x:v>
      </x:c>
    </x:row>
    <x:row r="9">
      <x:c r="A9" s="16" t="str">
        <x:v>Defer</x:v>
      </x:c>
      <x:c r="B9" s="44" t="n">
        <x:f>COUNTIF('Opportunity Intake'!$AL$5:$AL$34,"Defer")</x:f>
        <x:v>3</x:v>
      </x:c>
      <x:c r="C9" s="16"/>
      <x:c r="D9" s="16"/>
      <x:c r="E9" s="16"/>
      <x:c r="F9" s="16"/>
      <x:c r="G9" s="16" t="str">
        <x:v>Annual hours identified</x:v>
      </x:c>
      <x:c r="H9" s="51" t="n">
        <x:f>SUM('Opportunity Intake'!$AE$5:$AE$34)</x:f>
        <x:v>31620</x:v>
      </x:c>
      <x:c r="I9" s="16"/>
      <x:c r="J9" s="16" t="str">
        <x:v>Capacity indicator—not guaranteed savings</x:v>
      </x:c>
    </x:row>
    <x:row r="10">
      <x:c r="A10" s="17" t="str">
        <x:v>Approved / Pilot / Production</x:v>
      </x:c>
      <x:c r="B10" s="45" t="n">
        <x:f>COUNTIF('Opportunity Intake'!$AP$5:$AP$34,"Approved")+COUNTIF('Opportunity Intake'!$AP$5:$AP$34,"Pilot")+COUNTIF('Opportunity Intake'!$AP$5:$AP$34,"Production")</x:f>
        <x:v>0</x:v>
      </x:c>
      <x:c r="C10" s="17"/>
      <x:c r="D10" s="17"/>
      <x:c r="E10" s="17"/>
      <x:c r="F10" s="17"/>
      <x:c r="G10" s="17" t="str">
        <x:v>Gross capacity value</x:v>
      </x:c>
      <x:c r="H10" s="52" t="n">
        <x:f>SUM('Opportunity Intake'!$AF$5:$AF$34)</x:f>
        <x:v>1951740</x:v>
      </x:c>
      <x:c r="I10" s="17"/>
      <x:c r="J10" s="17" t="str">
        <x:v>Before implementation and run costs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808d40f02b3b4a35"/>
</x:worksheet>
</file>