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b9f265540a45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826ff23fbbd943e1"/>
    <x:sheet xmlns:r="http://schemas.openxmlformats.org/officeDocument/2006/relationships" name="Client Platform Landscape" sheetId="2" r:id="Ref5618c6296d4dde"/>
    <x:sheet xmlns:r="http://schemas.openxmlformats.org/officeDocument/2006/relationships" name="Selection Criteria" sheetId="3" r:id="R63bfc2c0c635408e"/>
    <x:sheet xmlns:r="http://schemas.openxmlformats.org/officeDocument/2006/relationships" name="Resource Capacity" sheetId="4" r:id="Rc6bfa2da90e64f21"/>
    <x:sheet xmlns:r="http://schemas.openxmlformats.org/officeDocument/2006/relationships" name="Tool Catalogue" sheetId="5" r:id="Rf95ea96115f4450b"/>
    <x:sheet xmlns:r="http://schemas.openxmlformats.org/officeDocument/2006/relationships" name="Tool Scorecard" sheetId="6" r:id="Rea8106e6ce7b404e"/>
    <x:sheet xmlns:r="http://schemas.openxmlformats.org/officeDocument/2006/relationships" name="Decision Record" sheetId="7" r:id="Rff2659297b8f4d6b"/>
    <x:sheet xmlns:r="http://schemas.openxmlformats.org/officeDocument/2006/relationships" name="Official Sources" sheetId="8" r:id="Rb7a49e21a3774e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"/>
    <x:numFmt numFmtId="202" formatCode="0.0"/>
    <x:numFmt numFmtId="203" formatCode="yyyy-mm-dd"/>
  </x:numFmts>
  <x:fonts count="7">
    <x:font>
      <x:sz val="11"/>
      <x:name val="Carlito"/>
    </x:font>
    <x:font>
      <x:b/>
      <x:sz val="18"/>
      <x:color rgb="FFFFFFFF"/>
      <x:name val="Carlito"/>
    </x:font>
    <x:font>
      <x:sz val="9"/>
      <x:color rgb="FF617181"/>
      <x:name val="Carlito"/>
    </x:font>
    <x:font>
      <x:b/>
      <x:sz val="9"/>
      <x:color rgb="FF08264A"/>
      <x:name val="Carlito"/>
    </x:font>
    <x:font>
      <x:sz val="9"/>
      <x:color rgb="FF173047"/>
      <x:name val="Carlito"/>
    </x:font>
    <x:font>
      <x:b/>
      <x:sz val="11"/>
      <x:color rgb="FFFFFFFF"/>
      <x:name val="Carlito"/>
    </x:font>
    <x:font>
      <x:b/>
      <x:sz val="11"/>
      <x:color rgb="FF08264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8264A"/>
      </x:patternFill>
    </x:fill>
    <x:fill>
      <x:patternFill patternType="solid">
        <x:fgColor rgb="FFF7F5EF"/>
      </x:patternFill>
    </x:fill>
    <x:fill>
      <x:patternFill patternType="solid">
        <x:fgColor rgb="FFF3F5F7"/>
      </x:patternFill>
    </x:fill>
    <x:fill>
      <x:patternFill patternType="solid">
        <x:fgColor rgb="FFFFF8E8"/>
      </x:patternFill>
    </x:fill>
    <x:fill>
      <x:patternFill patternType="solid">
        <x:fgColor rgb="FF173F66"/>
      </x:patternFill>
    </x:fill>
    <x:fill>
      <x:patternFill patternType="solid">
        <x:fgColor rgb="FFE3EDF5"/>
      </x:patternFill>
    </x:fill>
  </x:fills>
  <x:borders count="2">
    <x:border/>
    <x:border>
      <x:bottom style="thin">
        <x:color rgb="FFDDE3E8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200" fontId="4" fillId="5" borderId="0" xfId="0" applyNumberFormat="1" applyFont="1" applyFill="1" applyBorder="1" applyAlignment="1">
      <x:alignment vertical="top" wrapText="1"/>
    </x:xf>
    <x:xf numFmtId="200" fontId="4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200" fontId="5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201" fontId="4" fillId="0" borderId="0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202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203" fontId="4" fillId="5" borderId="1" xfId="0" applyNumberFormat="1" applyFont="1" applyFill="1" applyBorder="1" applyAlignment="1">
      <x:alignment vertical="top" wrapText="1"/>
    </x:xf>
    <x:xf numFmtId="203" fontId="4" fillId="0" borderId="0" xfId="0" applyNumberFormat="1" applyFont="1" applyFill="1" applyBorder="1" applyAlignment="1">
      <x:alignment vertical="top" wrapText="1"/>
    </x:xf>
    <x:xf numFmtId="203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29006d4a2b41dc" /><Relationship Type="http://schemas.openxmlformats.org/officeDocument/2006/relationships/theme" Target="/xl/theme/theme1.xml" Id="R2b6b54fe3bc94bf1" /><Relationship Type="http://schemas.openxmlformats.org/officeDocument/2006/relationships/sharedStrings" Target="/xl/sharedStrings.xml" Id="R4fc9a2719f6f4be5" /><Relationship Type="http://schemas.openxmlformats.org/officeDocument/2006/relationships/worksheet" Target="/xl/worksheets/sheet1.xml" Id="R826ff23fbbd943e1" /><Relationship Type="http://schemas.openxmlformats.org/officeDocument/2006/relationships/worksheet" Target="/xl/worksheets/sheet2.xml" Id="Ref5618c6296d4dde" /><Relationship Type="http://schemas.openxmlformats.org/officeDocument/2006/relationships/worksheet" Target="/xl/worksheets/sheet3.xml" Id="R63bfc2c0c635408e" /><Relationship Type="http://schemas.openxmlformats.org/officeDocument/2006/relationships/worksheet" Target="/xl/worksheets/sheet4.xml" Id="Rc6bfa2da90e64f21" /><Relationship Type="http://schemas.openxmlformats.org/officeDocument/2006/relationships/worksheet" Target="/xl/worksheets/sheet5.xml" Id="Rf95ea96115f4450b" /><Relationship Type="http://schemas.openxmlformats.org/officeDocument/2006/relationships/worksheet" Target="/xl/worksheets/sheet6.xml" Id="Rea8106e6ce7b404e" /><Relationship Type="http://schemas.openxmlformats.org/officeDocument/2006/relationships/worksheet" Target="/xl/worksheets/sheet7.xml" Id="Rff2659297b8f4d6b" /><Relationship Type="http://schemas.openxmlformats.org/officeDocument/2006/relationships/worksheet" Target="/xl/worksheets/sheet8.xml" Id="Rb7a49e21a3774e10" /><Relationship Type="http://schemas.microsoft.com/office/2017/10/relationships/person" Target="/xl/persons/person.xml" Id="Rfbd5ce87f3d545f5" /></Relationships>
</file>

<file path=xl/persons/person.xml><?xml version="1.0" encoding="utf-8"?>
<xltc:personList xmlns:xltc="http://schemas.microsoft.com/office/spreadsheetml/2018/threadedcomments">
  <xltc:person displayName="Ratheesh Technology Ltd." id="{F9DB06CF-9317-4ADD-95D6-3B52E9F88C0A}"/>
</xltc:personList>
</file>

<file path=xl/tables/table1.xml><?xml version="1.0" encoding="utf-8"?>
<x:table xmlns:x="http://schemas.openxmlformats.org/spreadsheetml/2006/main" id="1" name="ClientPlatformProfile" displayName="ClientPlatformProfile" ref="A4:F12" headerRowCount="1" totalsRowCount="0" totalsRowShown="0">
  <x:tableColumns count="6">
    <x:tableColumn id="1" name="Platform Ecosystem"/>
    <x:tableColumn id="2" name="Adoption (0–5)"/>
    <x:tableColumn id="3" name="Current Footprint / Products"/>
    <x:tableColumn id="4" name="Strategic Direction"/>
    <x:tableColumn id="5" name="Constraints / Commitments"/>
    <x:tableColumn id="6" name="Evidence Owner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ResourceCapacityAssessment" displayName="ResourceCapacityAssessment" ref="A4:M13" headerRowCount="1" totalsRowCount="0" totalsRowShown="0">
  <x:tableColumns count="13">
    <x:tableColumn id="1" name="Tool / Platform"/>
    <x:tableColumn id="2" name="Existing Team Reuse"/>
    <x:tableColumn id="3" name="Internal Skills"/>
    <x:tableColumn id="4" name="Recruitment Market"/>
    <x:tableColumn id="5" name="Implementation Partners"/>
    <x:tableColumn id="6" name="Training / Certification"/>
    <x:tableColumn id="7" name="Vendor Support Coverage"/>
    <x:tableColumn id="8" name="Named Operating Owner"/>
    <x:tableColumn id="9" name="Delivery Capacity"/>
    <x:tableColumn id="10" name="Retention / Continuity"/>
    <x:tableColumn id="11" name="Resource Score"/>
    <x:tableColumn id="12" name="Gap / Remediation Action"/>
    <x:tableColumn id="13" name="Evidence Owner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ToolFeatureCatalogue" displayName="ToolFeatureCatalogue" ref="A4:X13" headerRowCount="1" totalsRowCount="0" totalsRowShown="0">
  <x:tableColumns count="24">
    <x:tableColumn id="1" name="Tool / Platform"/>
    <x:tableColumn id="2" name="Primary Position"/>
    <x:tableColumn id="3" name="Best-fit Client Context"/>
    <x:tableColumn id="4" name="RPA / UI"/>
    <x:tableColumn id="5" name="Workflow / API"/>
    <x:tableColumn id="6" name="AI Agents"/>
    <x:tableColumn id="7" name="Documents"/>
    <x:tableColumn id="8" name="Discovery"/>
    <x:tableColumn id="9" name="Governance"/>
    <x:tableColumn id="10" name="Deployment"/>
    <x:tableColumn id="11" name="Operations"/>
    <x:tableColumn id="12" name="Low-code"/>
    <x:tableColumn id="13" name="Pro-code"/>
    <x:tableColumn id="14" name="Microsoft Affinity"/>
    <x:tableColumn id="15" name="AWS Affinity"/>
    <x:tableColumn id="16" name="Google Affinity"/>
    <x:tableColumn id="17" name="ServiceNow Affinity"/>
    <x:tableColumn id="18" name="Salesforce Affinity"/>
    <x:tableColumn id="19" name="SAP Affinity"/>
    <x:tableColumn id="20" name="IBM Affinity"/>
    <x:tableColumn id="21" name="Oracle Affinity"/>
    <x:tableColumn id="22" name="Key Strengths"/>
    <x:tableColumn id="23" name="Watch-outs / Validate"/>
    <x:tableColumn id="24" name="Official Source ID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4" name="ToolShortlistScorecard" displayName="ToolShortlistScorecard" ref="A4:Q13" headerRowCount="1" totalsRowCount="0" totalsRowShown="0">
  <x:tableColumns count="17">
    <x:tableColumn id="1" name="Tool / Platform"/>
    <x:tableColumn id="2" name="RPA"/>
    <x:tableColumn id="3" name="Workflow"/>
    <x:tableColumn id="4" name="AI Agents"/>
    <x:tableColumn id="5" name="Documents"/>
    <x:tableColumn id="6" name="Discovery"/>
    <x:tableColumn id="7" name="Governance"/>
    <x:tableColumn id="8" name="Deployment"/>
    <x:tableColumn id="9" name="Operations"/>
    <x:tableColumn id="10" name="Skills"/>
    <x:tableColumn id="11" name="Commercial"/>
    <x:tableColumn id="12" name="Portability"/>
    <x:tableColumn id="13" name="Platform Alignment"/>
    <x:tableColumn id="14" name="Capability Score"/>
    <x:tableColumn id="15" name="Overall Score"/>
    <x:tableColumn id="16" name="Rank"/>
    <x:tableColumn id="17" name="Decision / Conditions"/>
  </x:tableColumns>
  <x:tableStyleInfo name="TableStyleMedium2" showFirstColumn="0" showLastColumn="0" showRowStripes="0" showColumnStripes="0"/>
</x:table>
</file>

<file path=xl/tables/table5.xml><?xml version="1.0" encoding="utf-8"?>
<x:table xmlns:x="http://schemas.openxmlformats.org/spreadsheetml/2006/main" id="5" name="OfficialProductSources" displayName="OfficialProductSources" ref="A4:F21" headerRowCount="1" totalsRowCount="0" totalsRowShown="0">
  <x:tableColumns count="6">
    <x:tableColumn id="1" name="Source ID"/>
    <x:tableColumn id="2" name="Vendor / Product"/>
    <x:tableColumn id="3" name="Official URL"/>
    <x:tableColumn id="4" name="Capabilities supported"/>
    <x:tableColumn id="5" name="Checked"/>
    <x:tableColumn id="6" name="Procurement note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2ccf501e504e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1895065cb974a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a3b990b85fbd4d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aad86139b2d4cf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93561c0d0ab445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5" hidden="0" customWidth="1"/>
    <x:col min="3" max="3" width="35" hidden="0" customWidth="1"/>
    <x:col min="4" max="4" width="24" hidden="0" customWidth="1"/>
    <x:col min="5" max="5" width="38" hidden="0" customWidth="1"/>
    <x:col min="6" max="6" width="24" hidden="0" customWidth="1"/>
    <x:col min="7" max="7" width="18" hidden="0" customWidth="1"/>
    <x:col min="8" max="8" width="18" hidden="0" customWidth="1"/>
  </x:cols>
  <x:sheetData>
    <x:row r="1" ht="32" customHeight="1">
      <x:c r="A1" s="3" t="str">
        <x:v>AI &amp; RPA Platform-Aligned Tool Selection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A vendor-neutral decision workbook that rewards fit with the client’s existing platform while preserving capability, governance, portability and risk requirements.</x:v>
      </x:c>
      <x:c r="B2" s="6"/>
      <x:c r="C2" s="6"/>
      <x:c r="D2" s="6"/>
      <x:c r="E2" s="6"/>
      <x:c r="F2" s="6"/>
      <x:c r="G2" s="6"/>
      <x:c r="H2" s="6"/>
    </x:row>
    <x:row r="4">
      <x:c r="A4" s="11" t="str">
        <x:v>Step</x:v>
      </x:c>
      <x:c r="B4" s="11" t="str">
        <x:v>Question</x:v>
      </x:c>
      <x:c r="C4" s="11" t="str">
        <x:v>Why it matters</x:v>
      </x:c>
      <x:c r="D4" s="11" t="str">
        <x:v>Output</x:v>
      </x:c>
      <x:c r="E4" s="11" t="str">
        <x:v>Guardrail</x:v>
      </x:c>
      <x:c r="F4" s="11" t="str">
        <x:v>Owner</x:v>
      </x:c>
      <x:c r="G4" s="11" t="str">
        <x:v>Status</x:v>
      </x:c>
      <x:c r="H4" s="11" t="str">
        <x:v>Version</x:v>
      </x:c>
    </x:row>
    <x:row r="5">
      <x:c r="A5" s="16" t="str">
        <x:v>1. Baseline</x:v>
      </x:c>
      <x:c r="B5" s="16" t="str">
        <x:v>Which platforms, identity, data, integration and skills already exist?</x:v>
      </x:c>
      <x:c r="C5" s="16" t="str">
        <x:v>Existing investment can reduce time, cost and control duplication.</x:v>
      </x:c>
      <x:c r="D5" s="16" t="str">
        <x:v>Landscape profile</x:v>
      </x:c>
      <x:c r="E5" s="16" t="str">
        <x:v>Native fit is an accelerator, not an automatic winner.</x:v>
      </x:c>
      <x:c r="F5" s="16" t="str">
        <x:v>Enterprise Architecture</x:v>
      </x:c>
      <x:c r="G5" s="16" t="str">
        <x:v>Editable</x:v>
      </x:c>
      <x:c r="H5" s="16" t="str">
        <x:v>2026-07-19</x:v>
      </x:c>
    </x:row>
    <x:row r="6">
      <x:c r="A6" s="16" t="str">
        <x:v>2. Requirements</x:v>
      </x:c>
      <x:c r="B6" s="16" t="str">
        <x:v>Which RPA, AI, agent, document, mining, deployment and control capabilities matter?</x:v>
      </x:c>
      <x:c r="C6" s="16" t="str">
        <x:v>Weights must reflect the use case and operating model.</x:v>
      </x:c>
      <x:c r="D6" s="16" t="str">
        <x:v>Weighted criteria</x:v>
      </x:c>
      <x:c r="E6" s="16" t="str">
        <x:v>Weights must total 100%.</x:v>
      </x:c>
      <x:c r="F6" s="16" t="str">
        <x:v>Business + CoE</x:v>
      </x:c>
      <x:c r="G6" s="16" t="str">
        <x:v>Formula driven</x:v>
      </x:c>
      <x:c r="H6" s="16" t="str">
        <x:v>No macros</x:v>
      </x:c>
    </x:row>
    <x:row r="7">
      <x:c r="A7" s="16" t="str">
        <x:v>3. Catalogue</x:v>
      </x:c>
      <x:c r="B7" s="16" t="str">
        <x:v>Validate product capabilities against current official sources.</x:v>
      </x:c>
      <x:c r="C7" s="16" t="str">
        <x:v>Features and licensing change frequently.</x:v>
      </x:c>
      <x:c r="D7" s="16" t="str">
        <x:v>Auditable evidence</x:v>
      </x:c>
      <x:c r="E7" s="16" t="str">
        <x:v>Run a proof of capability for mandatory features.</x:v>
      </x:c>
      <x:c r="F7" s="16" t="str">
        <x:v>Technology owner</x:v>
      </x:c>
      <x:c r="G7" s="16" t="str">
        <x:v>Source linked</x:v>
      </x:c>
      <x:c r="H7" s="16" t="str">
        <x:v>Checked 2026-07-19</x:v>
      </x:c>
    </x:row>
    <x:row r="8">
      <x:c r="A8" s="16" t="str">
        <x:v>4. Score</x:v>
      </x:c>
      <x:c r="B8" s="16" t="str">
        <x:v>Rate each tool and review calculated platform alignment.</x:v>
      </x:c>
      <x:c r="C8" s="16" t="str">
        <x:v>Separates product capability from ecosystem convenience.</x:v>
      </x:c>
      <x:c r="D8" s="16" t="str">
        <x:v>Ranked shortlist</x:v>
      </x:c>
      <x:c r="E8" s="16" t="str">
        <x:v>A high score does not replace security, legal or procurement review.</x:v>
      </x:c>
      <x:c r="F8" s="16" t="str">
        <x:v>Evaluation team</x:v>
      </x:c>
      <x:c r="G8" s="16" t="str">
        <x:v>Client specific</x:v>
      </x:c>
      <x:c r="H8" s="16" t="str">
        <x:v>Reusable</x:v>
      </x:c>
    </x:row>
    <x:row r="9">
      <x:c r="A9" s="16" t="str">
        <x:v>5. Validate</x:v>
      </x:c>
      <x:c r="B9" s="16" t="str">
        <x:v>Pilot the top two or three tools using the same scenarios and test data.</x:v>
      </x:c>
      <x:c r="C9" s="16" t="str">
        <x:v>Vendor claims are not production evidence.</x:v>
      </x:c>
      <x:c r="D9" s="16" t="str">
        <x:v>Comparable test results</x:v>
      </x:c>
      <x:c r="E9" s="16" t="str">
        <x:v>Include failure, resilience and exit tests.</x:v>
      </x:c>
      <x:c r="F9" s="16" t="str">
        <x:v>Architecture + Risk</x:v>
      </x:c>
      <x:c r="G9" s="16" t="str">
        <x:v>Evidence required</x:v>
      </x:c>
      <x:c r="H9" s="16" t="str">
        <x:v>Enterprise neutral</x:v>
      </x:c>
    </x:row>
    <x:row r="10">
      <x:c r="A10" s="17" t="str">
        <x:v>6. Decide</x:v>
      </x:c>
      <x:c r="B10" s="17" t="str">
        <x:v>Record rationale, conditions, dissent, cost and exit strategy.</x:v>
      </x:c>
      <x:c r="C10" s="17" t="str">
        <x:v>Prevents opaque platform lock-in.</x:v>
      </x:c>
      <x:c r="D10" s="17" t="str">
        <x:v>Auditable decision</x:v>
      </x:c>
      <x:c r="E10" s="17" t="str">
        <x:v>Reassess after material platform or pricing change.</x:v>
      </x:c>
      <x:c r="F10" s="17" t="str">
        <x:v>Governance forum</x:v>
      </x:c>
      <x:c r="G10" s="17" t="str">
        <x:v>Approval gate</x:v>
      </x:c>
      <x:c r="H10" s="17" t="str">
        <x:v>Not procurement advice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42" hidden="0" customWidth="1"/>
    <x:col min="4" max="4" width="24" hidden="0" customWidth="1"/>
    <x:col min="5" max="5" width="42" hidden="0" customWidth="1"/>
    <x:col min="6" max="6" width="24" hidden="0" customWidth="1"/>
  </x:cols>
  <x:sheetData>
    <x:row r="1" ht="32" customHeight="1">
      <x:c r="A1" s="3" t="str">
        <x:v>Client Platform Landscape</x:v>
      </x:c>
      <x:c r="B1" s="3"/>
      <x:c r="C1" s="3"/>
      <x:c r="D1" s="3"/>
      <x:c r="E1" s="3"/>
      <x:c r="F1" s="3"/>
    </x:row>
    <x:row r="2" ht="30" customHeight="1">
      <x:c r="A2" s="6" t="str">
        <x:v>Rate current adoption from 0 (not used) to 5 (strategic standard). The scorecard uses these ratings to calculate ecosystem alignment.</x:v>
      </x:c>
      <x:c r="B2" s="6"/>
      <x:c r="C2" s="6"/>
      <x:c r="D2" s="6"/>
      <x:c r="E2" s="6"/>
      <x:c r="F2" s="6"/>
    </x:row>
    <x:row r="4">
      <x:c r="A4" s="11" t="str">
        <x:v>Platform Ecosystem</x:v>
      </x:c>
      <x:c r="B4" s="11" t="str">
        <x:v>Adoption (0–5)</x:v>
      </x:c>
      <x:c r="C4" s="11" t="str">
        <x:v>Current Footprint / Products</x:v>
      </x:c>
      <x:c r="D4" s="11" t="str">
        <x:v>Strategic Direction</x:v>
      </x:c>
      <x:c r="E4" s="11" t="str">
        <x:v>Constraints / Commitments</x:v>
      </x:c>
      <x:c r="F4" s="11" t="str">
        <x:v>Evidence Owner</x:v>
      </x:c>
    </x:row>
    <x:row r="5">
      <x:c r="A5" s="23" t="str">
        <x:v>Microsoft</x:v>
      </x:c>
      <x:c r="B5" s="23" t="n">
        <x:v>5</x:v>
      </x:c>
      <x:c r="C5" s="23" t="str">
        <x:v>Microsoft 365, Entra ID, Azure, Power Platform, Dynamics / Fabric</x:v>
      </x:c>
      <x:c r="D5" s="23" t="str">
        <x:v>Strategic</x:v>
      </x:c>
      <x:c r="E5" s="23" t="str">
        <x:v>Tenant, DLP, region, licensing and ALM</x:v>
      </x:c>
      <x:c r="F5" s="23" t="str">
        <x:v>Enterprise Architecture</x:v>
      </x:c>
    </x:row>
    <x:row r="6">
      <x:c r="A6" s="23" t="str">
        <x:v>AWS</x:v>
      </x:c>
      <x:c r="B6" s="23" t="n">
        <x:v>1</x:v>
      </x:c>
      <x:c r="C6" s="23" t="str">
        <x:v>AWS accounts, IAM, data and application services</x:v>
      </x:c>
      <x:c r="D6" s="23" t="str">
        <x:v>Selective</x:v>
      </x:c>
      <x:c r="E6" s="23" t="str">
        <x:v>Region, network, security and FinOps</x:v>
      </x:c>
      <x:c r="F6" s="23" t="str">
        <x:v>Cloud Platform</x:v>
      </x:c>
    </x:row>
    <x:row r="7">
      <x:c r="A7" s="23" t="str">
        <x:v>Google Cloud</x:v>
      </x:c>
      <x:c r="B7" s="23" t="n">
        <x:v>0</x:v>
      </x:c>
      <x:c r="C7" s="23" t="str">
        <x:v>GCP, Workspace, BigQuery, Vertex AI</x:v>
      </x:c>
      <x:c r="D7" s="23" t="str">
        <x:v>Not standard</x:v>
      </x:c>
      <x:c r="E7" s="23" t="str">
        <x:v>Identity, data and operating model</x:v>
      </x:c>
      <x:c r="F7" s="23" t="str">
        <x:v>Cloud Platform</x:v>
      </x:c>
    </x:row>
    <x:row r="8">
      <x:c r="A8" s="23" t="str">
        <x:v>ServiceNow</x:v>
      </x:c>
      <x:c r="B8" s="23" t="n">
        <x:v>3</x:v>
      </x:c>
      <x:c r="C8" s="23" t="str">
        <x:v>ITSM / CSM / workflow platform</x:v>
      </x:c>
      <x:c r="D8" s="23" t="str">
        <x:v>Strategic for service workflows</x:v>
      </x:c>
      <x:c r="E8" s="23" t="str">
        <x:v>License and process scope</x:v>
      </x:c>
      <x:c r="F8" s="23" t="str">
        <x:v>Service Management</x:v>
      </x:c>
    </x:row>
    <x:row r="9">
      <x:c r="A9" s="23" t="str">
        <x:v>Salesforce</x:v>
      </x:c>
      <x:c r="B9" s="23" t="n">
        <x:v>2</x:v>
      </x:c>
      <x:c r="C9" s="23" t="str">
        <x:v>CRM, Service Cloud, Data Cloud</x:v>
      </x:c>
      <x:c r="D9" s="23" t="str">
        <x:v>Business critical</x:v>
      </x:c>
      <x:c r="E9" s="23" t="str">
        <x:v>Data, integration and platform ownership</x:v>
      </x:c>
      <x:c r="F9" s="23" t="str">
        <x:v>CRM Owner</x:v>
      </x:c>
    </x:row>
    <x:row r="10">
      <x:c r="A10" s="23" t="str">
        <x:v>SAP</x:v>
      </x:c>
      <x:c r="B10" s="23" t="n">
        <x:v>3</x:v>
      </x:c>
      <x:c r="C10" s="23" t="str">
        <x:v>ERP and business process landscape</x:v>
      </x:c>
      <x:c r="D10" s="23" t="str">
        <x:v>Strategic core</x:v>
      </x:c>
      <x:c r="E10" s="23" t="str">
        <x:v>Clean core and integration standards</x:v>
      </x:c>
      <x:c r="F10" s="23" t="str">
        <x:v>ERP Owner</x:v>
      </x:c>
    </x:row>
    <x:row r="11">
      <x:c r="A11" s="23" t="str">
        <x:v>IBM / Red Hat</x:v>
      </x:c>
      <x:c r="B11" s="23" t="n">
        <x:v>1</x:v>
      </x:c>
      <x:c r="C11" s="23" t="str">
        <x:v>IBM software, OpenShift or watsonx</x:v>
      </x:c>
      <x:c r="D11" s="23" t="str">
        <x:v>Selective</x:v>
      </x:c>
      <x:c r="E11" s="23" t="str">
        <x:v>Hybrid platform standards</x:v>
      </x:c>
      <x:c r="F11" s="23" t="str">
        <x:v>Platform Owner</x:v>
      </x:c>
    </x:row>
    <x:row r="12">
      <x:c r="A12" s="24" t="str">
        <x:v>Oracle</x:v>
      </x:c>
      <x:c r="B12" s="24" t="n">
        <x:v>1</x:v>
      </x:c>
      <x:c r="C12" s="24" t="str">
        <x:v>Oracle applications / database / cloud</x:v>
      </x:c>
      <x:c r="D12" s="24" t="str">
        <x:v>Selective</x:v>
      </x:c>
      <x:c r="E12" s="24" t="str">
        <x:v>Data and application roadmap</x:v>
      </x:c>
      <x:c r="F12" s="24" t="str">
        <x:v>Platform Owner</x:v>
      </x:c>
    </x:row>
  </x:sheetData>
  <x:mergeCells>
    <x:mergeCell ref="A1:F1"/>
    <x:mergeCell ref="A2:F2"/>
  </x:mergeCells>
  <x:dataValidations count="1">
    <x:dataValidation type="list" sqref="B5:B12">
      <x:formula1>"0,1,2,3,4,5"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2ccf501e504e8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44" hidden="0" customWidth="1"/>
    <x:col min="5" max="5" width="34" hidden="0" customWidth="1"/>
    <x:col min="6" max="6" width="16" hidden="0" customWidth="1"/>
    <x:col min="7" max="7" width="16" hidden="0" customWidth="1"/>
    <x:col min="8" max="8" width="32" hidden="0" customWidth="1"/>
  </x:cols>
  <x:sheetData>
    <x:row r="1" ht="32" customHeight="1">
      <x:c r="A1" s="3" t="str">
        <x:v>Selection Criteria &amp; Weights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Adjust weights to reflect the client and target use cases. Importance scores are applied consistently to every tool.</x:v>
      </x:c>
      <x:c r="B2" s="6"/>
      <x:c r="C2" s="6"/>
      <x:c r="D2" s="6"/>
      <x:c r="E2" s="6"/>
      <x:c r="F2" s="6"/>
      <x:c r="G2" s="6"/>
      <x:c r="H2" s="6"/>
    </x:row>
    <x:row r="4">
      <x:c r="A4" s="11" t="str">
        <x:v>Criterion</x:v>
      </x:c>
      <x:c r="B4" s="11" t="str">
        <x:v>Weight</x:v>
      </x:c>
      <x:c r="C4" s="11" t="str">
        <x:v>Mandatory?</x:v>
      </x:c>
      <x:c r="D4" s="11" t="str">
        <x:v>What good looks like</x:v>
      </x:c>
      <x:c r="E4" s="11" t="str">
        <x:v>Evidence expected</x:v>
      </x:c>
      <x:c r="F4" s="11" t="str">
        <x:v>RPA relevance</x:v>
      </x:c>
      <x:c r="G4" s="11" t="str">
        <x:v>AI relevance</x:v>
      </x:c>
      <x:c r="H4" s="11" t="str">
        <x:v>Risk if weak</x:v>
      </x:c>
    </x:row>
    <x:row r="5">
      <x:c r="A5" s="16" t="str">
        <x:v>Core RPA / UI automation</x:v>
      </x:c>
      <x:c r="B5" s="25" t="n">
        <x:v>0.1</x:v>
      </x:c>
      <x:c r="C5" s="23" t="str">
        <x:v>Conditional</x:v>
      </x:c>
      <x:c r="D5" s="16" t="str">
        <x:v>Reliable attended/unattended desktop and web automation</x:v>
      </x:c>
      <x:c r="E5" s="16" t="str">
        <x:v>Demo, supported apps, resilience test</x:v>
      </x:c>
      <x:c r="F5" s="16" t="str">
        <x:v>High</x:v>
      </x:c>
      <x:c r="G5" s="16" t="str">
        <x:v>Low</x:v>
      </x:c>
      <x:c r="H5" s="16" t="str">
        <x:v>Fragile automations</x:v>
      </x:c>
    </x:row>
    <x:row r="6">
      <x:c r="A6" s="16" t="str">
        <x:v>Workflow, API and orchestration</x:v>
      </x:c>
      <x:c r="B6" s="25" t="n">
        <x:v>0.1</x:v>
      </x:c>
      <x:c r="C6" s="23" t="str">
        <x:v>Yes</x:v>
      </x:c>
      <x:c r="D6" s="16" t="str">
        <x:v>API-first orchestration with queues, events, human tasks and retries</x:v>
      </x:c>
      <x:c r="E6" s="16" t="str">
        <x:v>Architecture and failure test</x:v>
      </x:c>
      <x:c r="F6" s="16" t="str">
        <x:v>High</x:v>
      </x:c>
      <x:c r="G6" s="16" t="str">
        <x:v>High</x:v>
      </x:c>
      <x:c r="H6" s="16" t="str">
        <x:v>Point automation sprawl</x:v>
      </x:c>
    </x:row>
    <x:row r="7">
      <x:c r="A7" s="16" t="str">
        <x:v>AI agents and model flexibility</x:v>
      </x:c>
      <x:c r="B7" s="25" t="n">
        <x:v>0.1</x:v>
      </x:c>
      <x:c r="C7" s="23" t="str">
        <x:v>Conditional</x:v>
      </x:c>
      <x:c r="D7" s="16" t="str">
        <x:v>Build, orchestrate and evaluate agents; suitable model choice</x:v>
      </x:c>
      <x:c r="E7" s="16" t="str">
        <x:v>Agent test and model options</x:v>
      </x:c>
      <x:c r="F7" s="16" t="str">
        <x:v>Medium</x:v>
      </x:c>
      <x:c r="G7" s="16" t="str">
        <x:v>High</x:v>
      </x:c>
      <x:c r="H7" s="16" t="str">
        <x:v>Lock-in or uncontrolled autonomy</x:v>
      </x:c>
    </x:row>
    <x:row r="8">
      <x:c r="A8" s="16" t="str">
        <x:v>Document and unstructured data</x:v>
      </x:c>
      <x:c r="B8" s="25" t="n">
        <x:v>0.07</x:v>
      </x:c>
      <x:c r="C8" s="23" t="str">
        <x:v>Conditional</x:v>
      </x:c>
      <x:c r="D8" s="16" t="str">
        <x:v>Extraction, classification, validation and human review</x:v>
      </x:c>
      <x:c r="E8" s="16" t="str">
        <x:v>Accuracy test by document class</x:v>
      </x:c>
      <x:c r="F8" s="16" t="str">
        <x:v>High</x:v>
      </x:c>
      <x:c r="G8" s="16" t="str">
        <x:v>High</x:v>
      </x:c>
      <x:c r="H8" s="16" t="str">
        <x:v>Poor data quality</x:v>
      </x:c>
    </x:row>
    <x:row r="9">
      <x:c r="A9" s="16" t="str">
        <x:v>Process / task discovery</x:v>
      </x:c>
      <x:c r="B9" s="25" t="n">
        <x:v>0.04</x:v>
      </x:c>
      <x:c r="C9" s="23" t="str">
        <x:v>No</x:v>
      </x:c>
      <x:c r="D9" s="16" t="str">
        <x:v>Evidence-based opportunity discovery and process insight</x:v>
      </x:c>
      <x:c r="E9" s="16" t="str">
        <x:v>Discovery output and privacy design</x:v>
      </x:c>
      <x:c r="F9" s="16" t="str">
        <x:v>High</x:v>
      </x:c>
      <x:c r="G9" s="16" t="str">
        <x:v>Medium</x:v>
      </x:c>
      <x:c r="H9" s="16" t="str">
        <x:v>Weak pipeline</x:v>
      </x:c>
    </x:row>
    <x:row r="10">
      <x:c r="A10" s="16" t="str">
        <x:v>Integration ecosystem</x:v>
      </x:c>
      <x:c r="B10" s="25" t="n">
        <x:v>0.11</x:v>
      </x:c>
      <x:c r="C10" s="23" t="str">
        <x:v>Yes</x:v>
      </x:c>
      <x:c r="D10" s="16" t="str">
        <x:v>Native and custom connectors aligned to enterprise systems</x:v>
      </x:c>
      <x:c r="E10" s="16" t="str">
        <x:v>Connector inventory and API test</x:v>
      </x:c>
      <x:c r="F10" s="16" t="str">
        <x:v>High</x:v>
      </x:c>
      <x:c r="G10" s="16" t="str">
        <x:v>High</x:v>
      </x:c>
      <x:c r="H10" s="16" t="str">
        <x:v>High integration cost</x:v>
      </x:c>
    </x:row>
    <x:row r="11">
      <x:c r="A11" s="16" t="str">
        <x:v>Governance, security and audit</x:v>
      </x:c>
      <x:c r="B11" s="25" t="n">
        <x:v>0.13</x:v>
      </x:c>
      <x:c r="C11" s="23" t="str">
        <x:v>Yes</x:v>
      </x:c>
      <x:c r="D11" s="16" t="str">
        <x:v>RBAC, environments, DLP/policy, logs, approvals and evidence</x:v>
      </x:c>
      <x:c r="E11" s="16" t="str">
        <x:v>Control mapping and audit trail</x:v>
      </x:c>
      <x:c r="F11" s="16" t="str">
        <x:v>High</x:v>
      </x:c>
      <x:c r="G11" s="16" t="str">
        <x:v>High</x:v>
      </x:c>
      <x:c r="H11" s="16" t="str">
        <x:v>Control failure</x:v>
      </x:c>
    </x:row>
    <x:row r="12">
      <x:c r="A12" s="16" t="str">
        <x:v>Deployment and data location</x:v>
      </x:c>
      <x:c r="B12" s="25" t="n">
        <x:v>0.07</x:v>
      </x:c>
      <x:c r="C12" s="23" t="str">
        <x:v>Yes</x:v>
      </x:c>
      <x:c r="D12" s="16" t="str">
        <x:v>Required cloud, hybrid/on-prem, region and network patterns</x:v>
      </x:c>
      <x:c r="E12" s="16" t="str">
        <x:v>Deployment architecture</x:v>
      </x:c>
      <x:c r="F12" s="16" t="str">
        <x:v>High</x:v>
      </x:c>
      <x:c r="G12" s="16" t="str">
        <x:v>High</x:v>
      </x:c>
      <x:c r="H12" s="16" t="str">
        <x:v>Regulatory / operational mismatch</x:v>
      </x:c>
    </x:row>
    <x:row r="13">
      <x:c r="A13" s="16" t="str">
        <x:v>Operations and observability</x:v>
      </x:c>
      <x:c r="B13" s="25" t="n">
        <x:v>0.07</x:v>
      </x:c>
      <x:c r="C13" s="23" t="str">
        <x:v>Yes</x:v>
      </x:c>
      <x:c r="D13" s="16" t="str">
        <x:v>Monitoring, analytics, incidents, versioning and supportability</x:v>
      </x:c>
      <x:c r="E13" s="16" t="str">
        <x:v>Runbook and dashboard</x:v>
      </x:c>
      <x:c r="F13" s="16" t="str">
        <x:v>High</x:v>
      </x:c>
      <x:c r="G13" s="16" t="str">
        <x:v>High</x:v>
      </x:c>
      <x:c r="H13" s="16" t="str">
        <x:v>Unmanaged production</x:v>
      </x:c>
    </x:row>
    <x:row r="14">
      <x:c r="A14" s="16" t="str">
        <x:v>Resource availability and delivery capacity</x:v>
      </x:c>
      <x:c r="B14" s="25" t="n">
        <x:v>0.08</x:v>
      </x:c>
      <x:c r="C14" s="23" t="str">
        <x:v>Conditional</x:v>
      </x:c>
      <x:c r="D14" s="16" t="str">
        <x:v>Sufficient internal skills, hiring market, partners, training, support, ownership and delivery capacity</x:v>
      </x:c>
      <x:c r="E14" s="16" t="str">
        <x:v>Named-resource plan, market evidence, partner capacity, support model and skills-gap remediation</x:v>
      </x:c>
      <x:c r="F14" s="16" t="str">
        <x:v>High</x:v>
      </x:c>
      <x:c r="G14" s="16" t="str">
        <x:v>High</x:v>
      </x:c>
      <x:c r="H14" s="16" t="str">
        <x:v>Selection cannot be implemented or sustained</x:v>
      </x:c>
    </x:row>
    <x:row r="15">
      <x:c r="A15" s="16" t="str">
        <x:v>Commercial and TCO fit</x:v>
      </x:c>
      <x:c r="B15" s="25" t="n">
        <x:v>0.06</x:v>
      </x:c>
      <x:c r="C15" s="23" t="str">
        <x:v>Yes</x:v>
      </x:c>
      <x:c r="D15" s="16" t="str">
        <x:v>Transparent licenses, consumption, infrastructure and support costs</x:v>
      </x:c>
      <x:c r="E15" s="16" t="str">
        <x:v>3-year TCO and sensitivity</x:v>
      </x:c>
      <x:c r="F15" s="16" t="str">
        <x:v>High</x:v>
      </x:c>
      <x:c r="G15" s="16" t="str">
        <x:v>High</x:v>
      </x:c>
      <x:c r="H15" s="16" t="str">
        <x:v>Cost escalation</x:v>
      </x:c>
    </x:row>
    <x:row r="16">
      <x:c r="A16" s="16" t="str">
        <x:v>Portability and exit</x:v>
      </x:c>
      <x:c r="B16" s="25" t="n">
        <x:v>0.04</x:v>
      </x:c>
      <x:c r="C16" s="23" t="str">
        <x:v>Yes</x:v>
      </x:c>
      <x:c r="D16" s="16" t="str">
        <x:v>Data/model/workflow export, standards and feasible replacement</x:v>
      </x:c>
      <x:c r="E16" s="16" t="str">
        <x:v>Exit design and test</x:v>
      </x:c>
      <x:c r="F16" s="16" t="str">
        <x:v>Medium</x:v>
      </x:c>
      <x:c r="G16" s="16" t="str">
        <x:v>High</x:v>
      </x:c>
      <x:c r="H16" s="16" t="str">
        <x:v>Strategic lock-in</x:v>
      </x:c>
    </x:row>
    <x:row r="17">
      <x:c r="A17" s="17" t="str">
        <x:v>Existing platform alignment</x:v>
      </x:c>
      <x:c r="B17" s="26" t="n">
        <x:v>0.03</x:v>
      </x:c>
      <x:c r="C17" s="24" t="str">
        <x:v>No</x:v>
      </x:c>
      <x:c r="D17" s="17" t="str">
        <x:v>Uses existing identity, data, integration, operations and commercial agreements</x:v>
      </x:c>
      <x:c r="E17" s="17" t="str">
        <x:v>Landscape score</x:v>
      </x:c>
      <x:c r="F17" s="17" t="str">
        <x:v>High</x:v>
      </x:c>
      <x:c r="G17" s="17" t="str">
        <x:v>High</x:v>
      </x:c>
      <x:c r="H17" s="17" t="str">
        <x:v>Duplicate platform cost</x:v>
      </x:c>
    </x:row>
    <x:row r="19">
      <x:c r="A19" s="29" t="str">
        <x:v>Weight check</x:v>
      </x:c>
      <x:c r="B19" s="30" t="n">
        <x:f>SUM(B5:B17)</x:f>
        <x:v>1</x:v>
      </x:c>
    </x:row>
  </x:sheetData>
  <x:mergeCells>
    <x:mergeCell ref="A1:H1"/>
    <x:mergeCell ref="A2:H2"/>
  </x:mergeCells>
  <x:dataValidations count="1">
    <x:dataValidation type="list" sqref="C5:C17">
      <x:formula1>"Yes,No,Conditional"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6" hidden="0" customWidth="1"/>
    <x:col min="4" max="4" width="19" hidden="0" customWidth="1"/>
    <x:col min="5" max="5" width="23" hidden="0" customWidth="1"/>
    <x:col min="6" max="6" width="22" hidden="0" customWidth="1"/>
    <x:col min="7" max="7" width="22" hidden="0" customWidth="1"/>
    <x:col min="8" max="8" width="20" hidden="0" customWidth="1"/>
    <x:col min="9" max="9" width="18" hidden="0" customWidth="1"/>
    <x:col min="10" max="10" width="20" hidden="0" customWidth="1"/>
    <x:col min="11" max="11" width="16" hidden="0" customWidth="1"/>
    <x:col min="12" max="12" width="46" hidden="0" customWidth="1"/>
    <x:col min="13" max="13" width="22" hidden="0" customWidth="1"/>
  </x:cols>
  <x:sheetData>
    <x:row r="1" ht="32" customHeight="1">
      <x:c r="A1" s="3" t="str">
        <x:v>Resource Availability &amp; Delivery Capacity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6" t="str">
        <x:v>Rate each dimension from 0 (unavailable) to 5 (proven capacity). Product capability is irrelevant if the client cannot implement, govern, operate and support it sustainably.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1" t="str">
        <x:v>Tool / Platform</x:v>
      </x:c>
      <x:c r="B4" s="11" t="str">
        <x:v>Existing Team Reuse</x:v>
      </x:c>
      <x:c r="C4" s="11" t="str">
        <x:v>Internal Skills</x:v>
      </x:c>
      <x:c r="D4" s="11" t="str">
        <x:v>Recruitment Market</x:v>
      </x:c>
      <x:c r="E4" s="11" t="str">
        <x:v>Implementation Partners</x:v>
      </x:c>
      <x:c r="F4" s="11" t="str">
        <x:v>Training / Certification</x:v>
      </x:c>
      <x:c r="G4" s="11" t="str">
        <x:v>Vendor Support Coverage</x:v>
      </x:c>
      <x:c r="H4" s="11" t="str">
        <x:v>Named Operating Owner</x:v>
      </x:c>
      <x:c r="I4" s="11" t="str">
        <x:v>Delivery Capacity</x:v>
      </x:c>
      <x:c r="J4" s="11" t="str">
        <x:v>Retention / Continuity</x:v>
      </x:c>
      <x:c r="K4" s="11" t="str">
        <x:v>Resource Score</x:v>
      </x:c>
      <x:c r="L4" s="11" t="str">
        <x:v>Gap / Remediation Action</x:v>
      </x:c>
      <x:c r="M4" s="11" t="str">
        <x:v>Evidence Owner</x:v>
      </x:c>
    </x:row>
    <x:row r="5">
      <x:c r="A5" s="16" t="str">
        <x:v>Microsoft Power Automate + Copilot Studio</x:v>
      </x:c>
      <x:c r="B5" s="23" t="n">
        <x:v>5</x:v>
      </x:c>
      <x:c r="C5" s="23" t="n">
        <x:v>4</x:v>
      </x:c>
      <x:c r="D5" s="23" t="n">
        <x:v>5</x:v>
      </x:c>
      <x:c r="E5" s="23" t="n">
        <x:v>5</x:v>
      </x:c>
      <x:c r="F5" s="23" t="n">
        <x:v>5</x:v>
      </x:c>
      <x:c r="G5" s="23" t="n">
        <x:v>5</x:v>
      </x:c>
      <x:c r="H5" s="23" t="n">
        <x:v>4</x:v>
      </x:c>
      <x:c r="I5" s="23" t="n">
        <x:v>4</x:v>
      </x:c>
      <x:c r="J5" s="23" t="n">
        <x:v>4</x:v>
      </x:c>
      <x:c r="K5" s="32" t="n">
        <x:f>ROUND(AVERAGE(B5:J5),1)</x:f>
        <x:v>4.6</x:v>
      </x:c>
      <x:c r="L5" s="23" t="str"/>
      <x:c r="M5" s="23" t="str"/>
    </x:row>
    <x:row r="6">
      <x:c r="A6" s="16" t="str">
        <x:v>UiPath Platform</x:v>
      </x:c>
      <x:c r="B6" s="23" t="n">
        <x:v>3</x:v>
      </x:c>
      <x:c r="C6" s="23" t="n">
        <x:v>4</x:v>
      </x:c>
      <x:c r="D6" s="23" t="n">
        <x:v>4</x:v>
      </x:c>
      <x:c r="E6" s="23" t="n">
        <x:v>5</x:v>
      </x:c>
      <x:c r="F6" s="23" t="n">
        <x:v>5</x:v>
      </x:c>
      <x:c r="G6" s="23" t="n">
        <x:v>5</x:v>
      </x:c>
      <x:c r="H6" s="23" t="n">
        <x:v>4</x:v>
      </x:c>
      <x:c r="I6" s="23" t="n">
        <x:v>4</x:v>
      </x:c>
      <x:c r="J6" s="23" t="n">
        <x:v>4</x:v>
      </x:c>
      <x:c r="K6" s="32" t="n">
        <x:f>ROUND(AVERAGE(B6:J6),1)</x:f>
        <x:v>4.2</x:v>
      </x:c>
      <x:c r="L6" s="23" t="str"/>
      <x:c r="M6" s="23" t="str"/>
    </x:row>
    <x:row r="7">
      <x:c r="A7" s="16" t="str">
        <x:v>Automation Anywhere 360</x:v>
      </x:c>
      <x:c r="B7" s="23" t="n">
        <x:v>3</x:v>
      </x:c>
      <x:c r="C7" s="23" t="n">
        <x:v>3</x:v>
      </x:c>
      <x:c r="D7" s="23" t="n">
        <x:v>4</x:v>
      </x:c>
      <x:c r="E7" s="23" t="n">
        <x:v>4</x:v>
      </x:c>
      <x:c r="F7" s="23" t="n">
        <x:v>4</x:v>
      </x:c>
      <x:c r="G7" s="23" t="n">
        <x:v>5</x:v>
      </x:c>
      <x:c r="H7" s="23" t="n">
        <x:v>4</x:v>
      </x:c>
      <x:c r="I7" s="23" t="n">
        <x:v>4</x:v>
      </x:c>
      <x:c r="J7" s="23" t="n">
        <x:v>4</x:v>
      </x:c>
      <x:c r="K7" s="32" t="n">
        <x:f>ROUND(AVERAGE(B7:J7),1)</x:f>
        <x:v>3.9</x:v>
      </x:c>
      <x:c r="L7" s="23" t="str"/>
      <x:c r="M7" s="23" t="str"/>
    </x:row>
    <x:row r="8">
      <x:c r="A8" s="16" t="str">
        <x:v>SS&amp;C Blue Prism</x:v>
      </x:c>
      <x:c r="B8" s="23" t="n">
        <x:v>3</x:v>
      </x:c>
      <x:c r="C8" s="23" t="n">
        <x:v>3</x:v>
      </x:c>
      <x:c r="D8" s="23" t="n">
        <x:v>3</x:v>
      </x:c>
      <x:c r="E8" s="23" t="n">
        <x:v>4</x:v>
      </x:c>
      <x:c r="F8" s="23" t="n">
        <x:v>4</x:v>
      </x:c>
      <x:c r="G8" s="23" t="n">
        <x:v>4</x:v>
      </x:c>
      <x:c r="H8" s="23" t="n">
        <x:v>4</x:v>
      </x:c>
      <x:c r="I8" s="23" t="n">
        <x:v>3</x:v>
      </x:c>
      <x:c r="J8" s="23" t="n">
        <x:v>3</x:v>
      </x:c>
      <x:c r="K8" s="32" t="n">
        <x:f>ROUND(AVERAGE(B8:J8),1)</x:f>
        <x:v>3.4</x:v>
      </x:c>
      <x:c r="L8" s="23" t="str"/>
      <x:c r="M8" s="23" t="str"/>
    </x:row>
    <x:row r="9">
      <x:c r="A9" s="16" t="str">
        <x:v>ServiceNow Workflow Data Fabric / Automation</x:v>
      </x:c>
      <x:c r="B9" s="23" t="n">
        <x:v>4</x:v>
      </x:c>
      <x:c r="C9" s="23" t="n">
        <x:v>4</x:v>
      </x:c>
      <x:c r="D9" s="23" t="n">
        <x:v>4</x:v>
      </x:c>
      <x:c r="E9" s="23" t="n">
        <x:v>5</x:v>
      </x:c>
      <x:c r="F9" s="23" t="n">
        <x:v>5</x:v>
      </x:c>
      <x:c r="G9" s="23" t="n">
        <x:v>5</x:v>
      </x:c>
      <x:c r="H9" s="23" t="n">
        <x:v>4</x:v>
      </x:c>
      <x:c r="I9" s="23" t="n">
        <x:v>4</x:v>
      </x:c>
      <x:c r="J9" s="23" t="n">
        <x:v>4</x:v>
      </x:c>
      <x:c r="K9" s="32" t="n">
        <x:f>ROUND(AVERAGE(B9:J9),1)</x:f>
        <x:v>4.3</x:v>
      </x:c>
      <x:c r="L9" s="23" t="str"/>
      <x:c r="M9" s="23" t="str"/>
    </x:row>
    <x:row r="10">
      <x:c r="A10" s="16" t="str">
        <x:v>Amazon Bedrock</x:v>
      </x:c>
      <x:c r="B10" s="23" t="n">
        <x:v>3</x:v>
      </x:c>
      <x:c r="C10" s="23" t="n">
        <x:v>3</x:v>
      </x:c>
      <x:c r="D10" s="23" t="n">
        <x:v>5</x:v>
      </x:c>
      <x:c r="E10" s="23" t="n">
        <x:v>5</x:v>
      </x:c>
      <x:c r="F10" s="23" t="n">
        <x:v>5</x:v>
      </x:c>
      <x:c r="G10" s="23" t="n">
        <x:v>5</x:v>
      </x:c>
      <x:c r="H10" s="23" t="n">
        <x:v>3</x:v>
      </x:c>
      <x:c r="I10" s="23" t="n">
        <x:v>3</x:v>
      </x:c>
      <x:c r="J10" s="23" t="n">
        <x:v>4</x:v>
      </x:c>
      <x:c r="K10" s="32" t="n">
        <x:f>ROUND(AVERAGE(B10:J10),1)</x:f>
        <x:v>4</x:v>
      </x:c>
      <x:c r="L10" s="23" t="str"/>
      <x:c r="M10" s="23" t="str"/>
    </x:row>
    <x:row r="11">
      <x:c r="A11" s="16" t="str">
        <x:v>Google Vertex AI</x:v>
      </x:c>
      <x:c r="B11" s="23" t="n">
        <x:v>2</x:v>
      </x:c>
      <x:c r="C11" s="23" t="n">
        <x:v>3</x:v>
      </x:c>
      <x:c r="D11" s="23" t="n">
        <x:v>4</x:v>
      </x:c>
      <x:c r="E11" s="23" t="n">
        <x:v>5</x:v>
      </x:c>
      <x:c r="F11" s="23" t="n">
        <x:v>5</x:v>
      </x:c>
      <x:c r="G11" s="23" t="n">
        <x:v>5</x:v>
      </x:c>
      <x:c r="H11" s="23" t="n">
        <x:v>3</x:v>
      </x:c>
      <x:c r="I11" s="23" t="n">
        <x:v>3</x:v>
      </x:c>
      <x:c r="J11" s="23" t="n">
        <x:v>4</x:v>
      </x:c>
      <x:c r="K11" s="32" t="n">
        <x:f>ROUND(AVERAGE(B11:J11),1)</x:f>
        <x:v>3.8</x:v>
      </x:c>
      <x:c r="L11" s="23" t="str"/>
      <x:c r="M11" s="23" t="str"/>
    </x:row>
    <x:row r="12">
      <x:c r="A12" s="16" t="str">
        <x:v>IBM watsonx Orchestrate</x:v>
      </x:c>
      <x:c r="B12" s="23" t="n">
        <x:v>2</x:v>
      </x:c>
      <x:c r="C12" s="23" t="n">
        <x:v>3</x:v>
      </x:c>
      <x:c r="D12" s="23" t="n">
        <x:v>3</x:v>
      </x:c>
      <x:c r="E12" s="23" t="n">
        <x:v>4</x:v>
      </x:c>
      <x:c r="F12" s="23" t="n">
        <x:v>4</x:v>
      </x:c>
      <x:c r="G12" s="23" t="n">
        <x:v>5</x:v>
      </x:c>
      <x:c r="H12" s="23" t="n">
        <x:v>3</x:v>
      </x:c>
      <x:c r="I12" s="23" t="n">
        <x:v>3</x:v>
      </x:c>
      <x:c r="J12" s="23" t="n">
        <x:v>3</x:v>
      </x:c>
      <x:c r="K12" s="32" t="n">
        <x:f>ROUND(AVERAGE(B12:J12),1)</x:f>
        <x:v>3.3</x:v>
      </x:c>
      <x:c r="L12" s="23" t="str"/>
      <x:c r="M12" s="23" t="str"/>
    </x:row>
    <x:row r="13">
      <x:c r="A13" s="17" t="str">
        <x:v>OpenAI API Platform</x:v>
      </x:c>
      <x:c r="B13" s="24" t="n">
        <x:v>2</x:v>
      </x:c>
      <x:c r="C13" s="24" t="n">
        <x:v>3</x:v>
      </x:c>
      <x:c r="D13" s="24" t="n">
        <x:v>5</x:v>
      </x:c>
      <x:c r="E13" s="24" t="n">
        <x:v>5</x:v>
      </x:c>
      <x:c r="F13" s="24" t="n">
        <x:v>5</x:v>
      </x:c>
      <x:c r="G13" s="24" t="n">
        <x:v>5</x:v>
      </x:c>
      <x:c r="H13" s="24" t="n">
        <x:v>3</x:v>
      </x:c>
      <x:c r="I13" s="24" t="n">
        <x:v>3</x:v>
      </x:c>
      <x:c r="J13" s="24" t="n">
        <x:v>4</x:v>
      </x:c>
      <x:c r="K13" s="32" t="n">
        <x:f>ROUND(AVERAGE(B13:J13),1)</x:f>
        <x:v>3.9</x:v>
      </x:c>
      <x:c r="L13" s="24" t="str"/>
      <x:c r="M13" s="24" t="str"/>
    </x:row>
  </x:sheetData>
  <x:mergeCells>
    <x:mergeCell ref="A1:M1"/>
    <x:mergeCell ref="A2:M2"/>
  </x:mergeCells>
  <x:conditionalFormatting sqref="K5:K13">
    <x:cfRule type="colorScale" priority="1">
      <x:colorScale>
        <x:cfvo type="min"/>
        <x:cfvo type="percentile" val="50"/>
        <x:cfvo type="max"/>
        <x:color rgb="FFF2DDDC"/>
        <x:color rgb="FFF5E9D5"/>
        <x:color rgb="FFDDECE4"/>
      </x:colorScale>
    </x:cfRule>
  </x:conditionalFormatting>
  <x:dataValidations count="9">
    <x:dataValidation type="list" sqref="B5:B13">
      <x:formula1>"0,1,2,3,4,5"</x:formula1>
    </x:dataValidation>
    <x:dataValidation type="list" sqref="C5:C13">
      <x:formula1>"0,1,2,3,4,5"</x:formula1>
    </x:dataValidation>
    <x:dataValidation type="list" sqref="D5:D13">
      <x:formula1>"0,1,2,3,4,5"</x:formula1>
    </x:dataValidation>
    <x:dataValidation type="list" sqref="E5:E13">
      <x:formula1>"0,1,2,3,4,5"</x:formula1>
    </x:dataValidation>
    <x:dataValidation type="list" sqref="F5:F13">
      <x:formula1>"0,1,2,3,4,5"</x:formula1>
    </x:dataValidation>
    <x:dataValidation type="list" sqref="G5:G13">
      <x:formula1>"0,1,2,3,4,5"</x:formula1>
    </x:dataValidation>
    <x:dataValidation type="list" sqref="H5:H13">
      <x:formula1>"0,1,2,3,4,5"</x:formula1>
    </x:dataValidation>
    <x:dataValidation type="list" sqref="I5:I13">
      <x:formula1>"0,1,2,3,4,5"</x:formula1>
    </x:dataValidation>
    <x:dataValidation type="list" sqref="J5:J13">
      <x:formula1>"0,1,2,3,4,5"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895065cb974a3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8" hidden="0" customWidth="1"/>
    <x:col min="3" max="3" width="38" hidden="0" customWidth="1"/>
    <x:col min="4" max="4" width="12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  <x:col min="9" max="9" width="13" hidden="0" customWidth="1"/>
    <x:col min="10" max="10" width="13" hidden="0" customWidth="1"/>
    <x:col min="11" max="11" width="13" hidden="0" customWidth="1"/>
    <x:col min="12" max="12" width="12" hidden="0" customWidth="1"/>
    <x:col min="13" max="13" width="12" hidden="0" customWidth="1"/>
    <x:col min="14" max="14" width="14" hidden="0" customWidth="1"/>
    <x:col min="15" max="15" width="12" hidden="0" customWidth="1"/>
    <x:col min="16" max="16" width="14" hidden="0" customWidth="1"/>
    <x:col min="17" max="17" width="17" hidden="0" customWidth="1"/>
    <x:col min="18" max="18" width="17" hidden="0" customWidth="1"/>
    <x:col min="19" max="19" width="12" hidden="0" customWidth="1"/>
    <x:col min="20" max="20" width="12" hidden="0" customWidth="1"/>
    <x:col min="21" max="21" width="13" hidden="0" customWidth="1"/>
    <x:col min="22" max="22" width="44" hidden="0" customWidth="1"/>
    <x:col min="23" max="23" width="45" hidden="0" customWidth="1"/>
    <x:col min="24" max="24" width="24" hidden="0" customWidth="1"/>
  </x:cols>
  <x:sheetData>
    <x:row r="1" ht="32" customHeight="1">
      <x:c r="A1" s="3" t="str">
        <x:v>Leading AI &amp; RPA Tool Catalogue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2" ht="30" customHeight="1">
      <x:c r="A2" s="6" t="str">
        <x:v>Plain-language feature comparison. Ratings are starting assumptions (1–5), not a substitute for client validation or a current licensing review.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</x:row>
    <x:row r="4">
      <x:c r="A4" s="11" t="str">
        <x:v>Tool / Platform</x:v>
      </x:c>
      <x:c r="B4" s="11" t="str">
        <x:v>Primary Position</x:v>
      </x:c>
      <x:c r="C4" s="11" t="str">
        <x:v>Best-fit Client Context</x:v>
      </x:c>
      <x:c r="D4" s="11" t="str">
        <x:v>RPA / UI</x:v>
      </x:c>
      <x:c r="E4" s="11" t="str">
        <x:v>Workflow / API</x:v>
      </x:c>
      <x:c r="F4" s="11" t="str">
        <x:v>AI Agents</x:v>
      </x:c>
      <x:c r="G4" s="11" t="str">
        <x:v>Documents</x:v>
      </x:c>
      <x:c r="H4" s="11" t="str">
        <x:v>Discovery</x:v>
      </x:c>
      <x:c r="I4" s="11" t="str">
        <x:v>Governance</x:v>
      </x:c>
      <x:c r="J4" s="11" t="str">
        <x:v>Deployment</x:v>
      </x:c>
      <x:c r="K4" s="11" t="str">
        <x:v>Operations</x:v>
      </x:c>
      <x:c r="L4" s="11" t="str">
        <x:v>Low-code</x:v>
      </x:c>
      <x:c r="M4" s="11" t="str">
        <x:v>Pro-code</x:v>
      </x:c>
      <x:c r="N4" s="11" t="str">
        <x:v>Microsoft Affinity</x:v>
      </x:c>
      <x:c r="O4" s="11" t="str">
        <x:v>AWS Affinity</x:v>
      </x:c>
      <x:c r="P4" s="11" t="str">
        <x:v>Google Affinity</x:v>
      </x:c>
      <x:c r="Q4" s="11" t="str">
        <x:v>ServiceNow Affinity</x:v>
      </x:c>
      <x:c r="R4" s="11" t="str">
        <x:v>Salesforce Affinity</x:v>
      </x:c>
      <x:c r="S4" s="11" t="str">
        <x:v>SAP Affinity</x:v>
      </x:c>
      <x:c r="T4" s="11" t="str">
        <x:v>IBM Affinity</x:v>
      </x:c>
      <x:c r="U4" s="11" t="str">
        <x:v>Oracle Affinity</x:v>
      </x:c>
      <x:c r="V4" s="11" t="str">
        <x:v>Key Strengths</x:v>
      </x:c>
      <x:c r="W4" s="11" t="str">
        <x:v>Watch-outs / Validate</x:v>
      </x:c>
      <x:c r="X4" s="11" t="str">
        <x:v>Official Source ID</x:v>
      </x:c>
    </x:row>
    <x:row r="5">
      <x:c r="A5" s="16" t="str">
        <x:v>Microsoft Power Automate + Copilot Studio</x:v>
      </x:c>
      <x:c r="B5" s="16" t="str">
        <x:v>Microsoft-native automation and agents</x:v>
      </x:c>
      <x:c r="C5" s="16" t="str">
        <x:v>Microsoft 365 / Azure / Dynamics / Power Platform estates</x:v>
      </x:c>
      <x:c r="D5" s="33" t="n">
        <x:v>4</x:v>
      </x:c>
      <x:c r="E5" s="33" t="n">
        <x:v>5</x:v>
      </x:c>
      <x:c r="F5" s="33" t="n">
        <x:v>5</x:v>
      </x:c>
      <x:c r="G5" s="33" t="n">
        <x:v>4</x:v>
      </x:c>
      <x:c r="H5" s="33" t="n">
        <x:v>3</x:v>
      </x:c>
      <x:c r="I5" s="33" t="n">
        <x:v>5</x:v>
      </x:c>
      <x:c r="J5" s="33" t="n">
        <x:v>4</x:v>
      </x:c>
      <x:c r="K5" s="33" t="n">
        <x:v>4</x:v>
      </x:c>
      <x:c r="L5" s="33" t="n">
        <x:v>5</x:v>
      </x:c>
      <x:c r="M5" s="33" t="n">
        <x:v>3</x:v>
      </x:c>
      <x:c r="N5" s="33" t="n">
        <x:v>5</x:v>
      </x:c>
      <x:c r="O5" s="33" t="n">
        <x:v>2</x:v>
      </x:c>
      <x:c r="P5" s="33" t="n">
        <x:v>2</x:v>
      </x:c>
      <x:c r="Q5" s="33" t="n">
        <x:v>3</x:v>
      </x:c>
      <x:c r="R5" s="33" t="n">
        <x:v>2</x:v>
      </x:c>
      <x:c r="S5" s="33" t="n">
        <x:v>2</x:v>
      </x:c>
      <x:c r="T5" s="33" t="n">
        <x:v>2</x:v>
      </x:c>
      <x:c r="U5" s="33" t="n">
        <x:v>2</x:v>
      </x:c>
      <x:c r="V5" s="16" t="str">
        <x:v>Cloud flows, desktop flows, connectors, agents, Teams/M365 channels, Power Platform DLP and environments</x:v>
      </x:c>
      <x:c r="W5" s="16" t="str">
        <x:v>Licensing, environment strategy, premium connectors, unattended capacity, complex pro-code needs</x:v>
      </x:c>
      <x:c r="X5" s="16" t="str">
        <x:v>SRC-001; SRC-002; SRC-003</x:v>
      </x:c>
    </x:row>
    <x:row r="6">
      <x:c r="A6" s="16" t="str">
        <x:v>UiPath Platform</x:v>
      </x:c>
      <x:c r="B6" s="16" t="str">
        <x:v>Broad enterprise automation</x:v>
      </x:c>
      <x:c r="C6" s="16" t="str">
        <x:v>Heterogeneous estates requiring deep RPA, discovery and documents</x:v>
      </x:c>
      <x:c r="D6" s="33" t="n">
        <x:v>5</x:v>
      </x:c>
      <x:c r="E6" s="33" t="n">
        <x:v>4</x:v>
      </x:c>
      <x:c r="F6" s="33" t="n">
        <x:v>4</x:v>
      </x:c>
      <x:c r="G6" s="33" t="n">
        <x:v>5</x:v>
      </x:c>
      <x:c r="H6" s="33" t="n">
        <x:v>5</x:v>
      </x:c>
      <x:c r="I6" s="33" t="n">
        <x:v>5</x:v>
      </x:c>
      <x:c r="J6" s="33" t="n">
        <x:v>5</x:v>
      </x:c>
      <x:c r="K6" s="33" t="n">
        <x:v>5</x:v>
      </x:c>
      <x:c r="L6" s="33" t="n">
        <x:v>4</x:v>
      </x:c>
      <x:c r="M6" s="33" t="n">
        <x:v>4</x:v>
      </x:c>
      <x:c r="N6" s="33" t="n">
        <x:v>3</x:v>
      </x:c>
      <x:c r="O6" s="33" t="n">
        <x:v>3</x:v>
      </x:c>
      <x:c r="P6" s="33" t="n">
        <x:v>3</x:v>
      </x:c>
      <x:c r="Q6" s="33" t="n">
        <x:v>3</x:v>
      </x:c>
      <x:c r="R6" s="33" t="n">
        <x:v>3</x:v>
      </x:c>
      <x:c r="S6" s="33" t="n">
        <x:v>4</x:v>
      </x:c>
      <x:c r="T6" s="33" t="n">
        <x:v>3</x:v>
      </x:c>
      <x:c r="U6" s="33" t="n">
        <x:v>3</x:v>
      </x:c>
      <x:c r="V6" s="16" t="str">
        <x:v>Mature RPA, process/task mining, document understanding, orchestration, attended and unattended automation</x:v>
      </x:c>
      <x:c r="W6" s="16" t="str">
        <x:v>Platform breadth, licensing/TCO, operating-model discipline, overlap with existing low-code platforms</x:v>
      </x:c>
      <x:c r="X6" s="16" t="str">
        <x:v>SRC-004; SRC-005</x:v>
      </x:c>
    </x:row>
    <x:row r="7">
      <x:c r="A7" s="16" t="str">
        <x:v>Automation Anywhere 360</x:v>
      </x:c>
      <x:c r="B7" s="16" t="str">
        <x:v>Cloud/hybrid agentic process automation</x:v>
      </x:c>
      <x:c r="C7" s="16" t="str">
        <x:v>Enterprises prioritizing RPA, discovery, IDP and AI-agent orchestration</x:v>
      </x:c>
      <x:c r="D7" s="33" t="n">
        <x:v>5</x:v>
      </x:c>
      <x:c r="E7" s="33" t="n">
        <x:v>4</x:v>
      </x:c>
      <x:c r="F7" s="33" t="n">
        <x:v>4</x:v>
      </x:c>
      <x:c r="G7" s="33" t="n">
        <x:v>4</x:v>
      </x:c>
      <x:c r="H7" s="33" t="n">
        <x:v>5</x:v>
      </x:c>
      <x:c r="I7" s="33" t="n">
        <x:v>4</x:v>
      </x:c>
      <x:c r="J7" s="33" t="n">
        <x:v>5</x:v>
      </x:c>
      <x:c r="K7" s="33" t="n">
        <x:v>4</x:v>
      </x:c>
      <x:c r="L7" s="33" t="n">
        <x:v>5</x:v>
      </x:c>
      <x:c r="M7" s="33" t="n">
        <x:v>4</x:v>
      </x:c>
      <x:c r="N7" s="33" t="n">
        <x:v>3</x:v>
      </x:c>
      <x:c r="O7" s="33" t="n">
        <x:v>3</x:v>
      </x:c>
      <x:c r="P7" s="33" t="n">
        <x:v>3</x:v>
      </x:c>
      <x:c r="Q7" s="33" t="n">
        <x:v>3</x:v>
      </x:c>
      <x:c r="R7" s="33" t="n">
        <x:v>3</x:v>
      </x:c>
      <x:c r="S7" s="33" t="n">
        <x:v>3</x:v>
      </x:c>
      <x:c r="T7" s="33" t="n">
        <x:v>3</x:v>
      </x:c>
      <x:c r="U7" s="33" t="n">
        <x:v>3</x:v>
      </x:c>
      <x:c r="V7" s="16" t="str">
        <x:v>RPA, Agentic Process Automation, AI Agent Studio, Process Discovery, IQ Bot, Bot Insight, cloud/on-prem options</x:v>
      </x:c>
      <x:c r="W7" s="16" t="str">
        <x:v>Edition availability, regional features, licensing, integration depth and governance operating model</x:v>
      </x:c>
      <x:c r="X7" s="16" t="str">
        <x:v>SRC-006; SRC-007</x:v>
      </x:c>
    </x:row>
    <x:row r="8">
      <x:c r="A8" s="16" t="str">
        <x:v>SS&amp;C Blue Prism</x:v>
      </x:c>
      <x:c r="B8" s="16" t="str">
        <x:v>Controlled enterprise RPA</x:v>
      </x:c>
      <x:c r="C8" s="16" t="str">
        <x:v>Regulated operations emphasizing centrally governed digital workers</x:v>
      </x:c>
      <x:c r="D8" s="33" t="n">
        <x:v>5</x:v>
      </x:c>
      <x:c r="E8" s="33" t="n">
        <x:v>3</x:v>
      </x:c>
      <x:c r="F8" s="33" t="n">
        <x:v>2</x:v>
      </x:c>
      <x:c r="G8" s="33" t="n">
        <x:v>3</x:v>
      </x:c>
      <x:c r="H8" s="33" t="n">
        <x:v>3</x:v>
      </x:c>
      <x:c r="I8" s="33" t="n">
        <x:v>5</x:v>
      </x:c>
      <x:c r="J8" s="33" t="n">
        <x:v>5</x:v>
      </x:c>
      <x:c r="K8" s="33" t="n">
        <x:v>4</x:v>
      </x:c>
      <x:c r="L8" s="33" t="n">
        <x:v>3</x:v>
      </x:c>
      <x:c r="M8" s="33" t="n">
        <x:v>3</x:v>
      </x:c>
      <x:c r="N8" s="33" t="n">
        <x:v>3</x:v>
      </x:c>
      <x:c r="O8" s="33" t="n">
        <x:v>3</x:v>
      </x:c>
      <x:c r="P8" s="33" t="n">
        <x:v>2</x:v>
      </x:c>
      <x:c r="Q8" s="33" t="n">
        <x:v>2</x:v>
      </x:c>
      <x:c r="R8" s="33" t="n">
        <x:v>2</x:v>
      </x:c>
      <x:c r="S8" s="33" t="n">
        <x:v>3</x:v>
      </x:c>
      <x:c r="T8" s="33" t="n">
        <x:v>3</x:v>
      </x:c>
      <x:c r="U8" s="33" t="n">
        <x:v>3</x:v>
      </x:c>
      <x:c r="V8" s="16" t="str">
        <x:v>Centralized RPA control, reusable objects, queues, auditability, hybrid deployment patterns</x:v>
      </x:c>
      <x:c r="W8" s="16" t="str">
        <x:v>Validate current AI/agent roadmap, modern developer experience, connector ecosystem and total cost</x:v>
      </x:c>
      <x:c r="X8" s="16" t="str">
        <x:v>SRC-008</x:v>
      </x:c>
    </x:row>
    <x:row r="9">
      <x:c r="A9" s="16" t="str">
        <x:v>ServiceNow Workflow Data Fabric / Automation</x:v>
      </x:c>
      <x:c r="B9" s="16" t="str">
        <x:v>Service workflow automation</x:v>
      </x:c>
      <x:c r="C9" s="16" t="str">
        <x:v>ServiceNow-centric IT, employee, customer or operations workflows</x:v>
      </x:c>
      <x:c r="D9" s="33" t="n">
        <x:v>3</x:v>
      </x:c>
      <x:c r="E9" s="33" t="n">
        <x:v>5</x:v>
      </x:c>
      <x:c r="F9" s="33" t="n">
        <x:v>4</x:v>
      </x:c>
      <x:c r="G9" s="33" t="n">
        <x:v>4</x:v>
      </x:c>
      <x:c r="H9" s="33" t="n">
        <x:v>3</x:v>
      </x:c>
      <x:c r="I9" s="33" t="n">
        <x:v>5</x:v>
      </x:c>
      <x:c r="J9" s="33" t="n">
        <x:v>4</x:v>
      </x:c>
      <x:c r="K9" s="33" t="n">
        <x:v>5</x:v>
      </x:c>
      <x:c r="L9" s="33" t="n">
        <x:v>4</x:v>
      </x:c>
      <x:c r="M9" s="33" t="n">
        <x:v>5</x:v>
      </x:c>
      <x:c r="N9" s="33" t="n">
        <x:v>3</x:v>
      </x:c>
      <x:c r="O9" s="33" t="n">
        <x:v>3</x:v>
      </x:c>
      <x:c r="P9" s="33" t="n">
        <x:v>3</x:v>
      </x:c>
      <x:c r="Q9" s="33" t="n">
        <x:v>5</x:v>
      </x:c>
      <x:c r="R9" s="33" t="n">
        <x:v>3</x:v>
      </x:c>
      <x:c r="S9" s="33" t="n">
        <x:v>2</x:v>
      </x:c>
      <x:c r="T9" s="33" t="n">
        <x:v>2</x:v>
      </x:c>
      <x:c r="U9" s="33" t="n">
        <x:v>2</x:v>
      </x:c>
      <x:c r="V9" s="16" t="str">
        <x:v>IntegrationHub, RPA Hub, Automation Center and Document Intelligence on ServiceNow workflows</x:v>
      </x:c>
      <x:c r="W9" s="16" t="str">
        <x:v>Best when work is anchored in ServiceNow; validate non-ServiceNow orchestration, licensing and robot depth</x:v>
      </x:c>
      <x:c r="X9" s="16" t="str">
        <x:v>SRC-009</x:v>
      </x:c>
    </x:row>
    <x:row r="10">
      <x:c r="A10" s="16" t="str">
        <x:v>Amazon Bedrock</x:v>
      </x:c>
      <x:c r="B10" s="16" t="str">
        <x:v>AWS-native generative and agentic AI</x:v>
      </x:c>
      <x:c r="C10" s="16" t="str">
        <x:v>AWS estates building custom governed AI applications</x:v>
      </x:c>
      <x:c r="D10" s="33" t="n">
        <x:v>1</x:v>
      </x:c>
      <x:c r="E10" s="33" t="n">
        <x:v>4</x:v>
      </x:c>
      <x:c r="F10" s="33" t="n">
        <x:v>5</x:v>
      </x:c>
      <x:c r="G10" s="33" t="n">
        <x:v>4</x:v>
      </x:c>
      <x:c r="H10" s="33" t="n">
        <x:v>2</x:v>
      </x:c>
      <x:c r="I10" s="33" t="n">
        <x:v>5</x:v>
      </x:c>
      <x:c r="J10" s="33" t="n">
        <x:v>5</x:v>
      </x:c>
      <x:c r="K10" s="33" t="n">
        <x:v>3</x:v>
      </x:c>
      <x:c r="L10" s="33" t="n">
        <x:v>5</x:v>
      </x:c>
      <x:c r="M10" s="33" t="n">
        <x:v>2</x:v>
      </x:c>
      <x:c r="N10" s="33" t="n">
        <x:v>5</x:v>
      </x:c>
      <x:c r="O10" s="33" t="n">
        <x:v>2</x:v>
      </x:c>
      <x:c r="P10" s="33" t="n">
        <x:v>5</x:v>
      </x:c>
      <x:c r="Q10" s="33" t="n">
        <x:v>2</x:v>
      </x:c>
      <x:c r="R10" s="33" t="n">
        <x:v>2</x:v>
      </x:c>
      <x:c r="S10" s="33" t="n">
        <x:v>2</x:v>
      </x:c>
      <x:c r="T10" s="33" t="n">
        <x:v>2</x:v>
      </x:c>
      <x:c r="U10" s="33" t="n">
        <x:v>2</x:v>
      </x:c>
      <x:c r="V10" s="16" t="str">
        <x:v>Model choice, agents, knowledge bases, guardrails, IAM/VPC integration and AWS operations</x:v>
      </x:c>
      <x:c r="W10" s="16" t="str">
        <x:v>Not a full RPA suite; requires engineering, cloud architecture, FinOps and separate UI automation</x:v>
      </x:c>
      <x:c r="X10" s="16" t="str">
        <x:v>SRC-010; SRC-011; SRC-012</x:v>
      </x:c>
    </x:row>
    <x:row r="11">
      <x:c r="A11" s="16" t="str">
        <x:v>Google Vertex AI</x:v>
      </x:c>
      <x:c r="B11" s="16" t="str">
        <x:v>Google Cloud AI development platform</x:v>
      </x:c>
      <x:c r="C11" s="16" t="str">
        <x:v>GCP / BigQuery / Workspace estates building production AI and agents</x:v>
      </x:c>
      <x:c r="D11" s="33" t="n">
        <x:v>1</x:v>
      </x:c>
      <x:c r="E11" s="33" t="n">
        <x:v>4</x:v>
      </x:c>
      <x:c r="F11" s="33" t="n">
        <x:v>5</x:v>
      </x:c>
      <x:c r="G11" s="33" t="n">
        <x:v>4</x:v>
      </x:c>
      <x:c r="H11" s="33" t="n">
        <x:v>2</x:v>
      </x:c>
      <x:c r="I11" s="33" t="n">
        <x:v>5</x:v>
      </x:c>
      <x:c r="J11" s="33" t="n">
        <x:v>5</x:v>
      </x:c>
      <x:c r="K11" s="33" t="n">
        <x:v>3</x:v>
      </x:c>
      <x:c r="L11" s="33" t="n">
        <x:v>5</x:v>
      </x:c>
      <x:c r="M11" s="33" t="n">
        <x:v>2</x:v>
      </x:c>
      <x:c r="N11" s="33" t="n">
        <x:v>5</x:v>
      </x:c>
      <x:c r="O11" s="33" t="n">
        <x:v>2</x:v>
      </x:c>
      <x:c r="P11" s="33" t="n">
        <x:v>2</x:v>
      </x:c>
      <x:c r="Q11" s="33" t="n">
        <x:v>5</x:v>
      </x:c>
      <x:c r="R11" s="33" t="n">
        <x:v>2</x:v>
      </x:c>
      <x:c r="S11" s="33" t="n">
        <x:v>2</x:v>
      </x:c>
      <x:c r="T11" s="33" t="n">
        <x:v>2</x:v>
      </x:c>
      <x:c r="U11" s="33" t="n">
        <x:v>2</x:v>
      </x:c>
      <x:c r="V11" s="16" t="str">
        <x:v>Model Garden, Agent Engine, evaluation, monitoring, IAM and Google Cloud data/ML integration</x:v>
      </x:c>
      <x:c r="W11" s="16" t="str">
        <x:v>Not a full RPA suite; confirm feature launch stage, regions, security controls and engineering capacity</x:v>
      </x:c>
      <x:c r="X11" s="16" t="str">
        <x:v>SRC-013; SRC-014</x:v>
      </x:c>
    </x:row>
    <x:row r="12">
      <x:c r="A12" s="16" t="str">
        <x:v>IBM watsonx Orchestrate</x:v>
      </x:c>
      <x:c r="B12" s="16" t="str">
        <x:v>Open agent orchestration and governance</x:v>
      </x:c>
      <x:c r="C12" s="16" t="str">
        <x:v>IBM/Red Hat or multi-model estates needing a governed agent control plane</x:v>
      </x:c>
      <x:c r="D12" s="33" t="n">
        <x:v>2</x:v>
      </x:c>
      <x:c r="E12" s="33" t="n">
        <x:v>4</x:v>
      </x:c>
      <x:c r="F12" s="33" t="n">
        <x:v>5</x:v>
      </x:c>
      <x:c r="G12" s="33" t="n">
        <x:v>3</x:v>
      </x:c>
      <x:c r="H12" s="33" t="n">
        <x:v>2</x:v>
      </x:c>
      <x:c r="I12" s="33" t="n">
        <x:v>5</x:v>
      </x:c>
      <x:c r="J12" s="33" t="n">
        <x:v>5</x:v>
      </x:c>
      <x:c r="K12" s="33" t="n">
        <x:v>4</x:v>
      </x:c>
      <x:c r="L12" s="33" t="n">
        <x:v>5</x:v>
      </x:c>
      <x:c r="M12" s="33" t="n">
        <x:v>4</x:v>
      </x:c>
      <x:c r="N12" s="33" t="n">
        <x:v>4</x:v>
      </x:c>
      <x:c r="O12" s="33" t="n">
        <x:v>3</x:v>
      </x:c>
      <x:c r="P12" s="33" t="n">
        <x:v>3</x:v>
      </x:c>
      <x:c r="Q12" s="33" t="n">
        <x:v>3</x:v>
      </x:c>
      <x:c r="R12" s="33" t="n">
        <x:v>3</x:v>
      </x:c>
      <x:c r="S12" s="33" t="n">
        <x:v>3</x:v>
      </x:c>
      <x:c r="T12" s="33" t="n">
        <x:v>3</x:v>
      </x:c>
      <x:c r="U12" s="33" t="n">
        <x:v>5</x:v>
      </x:c>
      <x:c r="V12" s="16" t="str">
        <x:v>Agent builder, multi-agent orchestration, model routing, governed catalogue, control plane and enterprise connectors</x:v>
      </x:c>
      <x:c r="W12" s="16" t="str">
        <x:v>Validate RPA depth, deployment edition, preview features, connector specifics and commercial model</x:v>
      </x:c>
      <x:c r="X12" s="16" t="str">
        <x:v>SRC-015; SRC-016</x:v>
      </x:c>
    </x:row>
    <x:row r="13">
      <x:c r="A13" s="17" t="str">
        <x:v>OpenAI API Platform</x:v>
      </x:c>
      <x:c r="B13" s="17" t="str">
        <x:v>Developer-first AI and agents</x:v>
      </x:c>
      <x:c r="C13" s="17" t="str">
        <x:v>Organizations building custom AI products with strong engineering and governance</x:v>
      </x:c>
      <x:c r="D13" s="34" t="n">
        <x:v>1</x:v>
      </x:c>
      <x:c r="E13" s="34" t="n">
        <x:v>4</x:v>
      </x:c>
      <x:c r="F13" s="34" t="n">
        <x:v>5</x:v>
      </x:c>
      <x:c r="G13" s="34" t="n">
        <x:v>4</x:v>
      </x:c>
      <x:c r="H13" s="34" t="n">
        <x:v>1</x:v>
      </x:c>
      <x:c r="I13" s="34" t="n">
        <x:v>4</x:v>
      </x:c>
      <x:c r="J13" s="34" t="n">
        <x:v>4</x:v>
      </x:c>
      <x:c r="K13" s="34" t="n">
        <x:v>2</x:v>
      </x:c>
      <x:c r="L13" s="34" t="n">
        <x:v>5</x:v>
      </x:c>
      <x:c r="M13" s="34" t="n">
        <x:v>2</x:v>
      </x:c>
      <x:c r="N13" s="34" t="n">
        <x:v>5</x:v>
      </x:c>
      <x:c r="O13" s="34" t="n">
        <x:v>3</x:v>
      </x:c>
      <x:c r="P13" s="34" t="n">
        <x:v>3</x:v>
      </x:c>
      <x:c r="Q13" s="34" t="n">
        <x:v>3</x:v>
      </x:c>
      <x:c r="R13" s="34" t="n">
        <x:v>3</x:v>
      </x:c>
      <x:c r="S13" s="34" t="n">
        <x:v>3</x:v>
      </x:c>
      <x:c r="T13" s="34" t="n">
        <x:v>3</x:v>
      </x:c>
      <x:c r="U13" s="34" t="n">
        <x:v>3</x:v>
      </x:c>
      <x:c r="V13" s="17" t="str">
        <x:v>Models, agent tooling, tool use, evaluations, guardrails patterns and developer APIs</x:v>
      </x:c>
      <x:c r="W13" s="17" t="str">
        <x:v>Not a full RPA suite; client must supply integration, identity, hosting architecture, monitoring and governance controls</x:v>
      </x:c>
      <x:c r="X13" s="17" t="str">
        <x:v>SRC-017</x:v>
      </x:c>
    </x:row>
  </x:sheetData>
  <x:mergeCells>
    <x:mergeCell ref="A1:X1"/>
    <x:mergeCell ref="A2:X2"/>
  </x:mergeCells>
  <x:conditionalFormatting sqref="D5:U13">
    <x:cfRule type="colorScale" priority="1">
      <x:colorScale>
        <x:cfvo type="min"/>
        <x:cfvo type="percentile" val="50"/>
        <x:cfvo type="max"/>
        <x:color rgb="FFF2DDDC"/>
        <x:color rgb="FFF5E9D5"/>
        <x:color rgb="FFDDECE4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3b990b85fbd4d1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0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2" hidden="0" customWidth="1"/>
    <x:col min="8" max="8" width="12" hidden="0" customWidth="1"/>
    <x:col min="9" max="9" width="12" hidden="0" customWidth="1"/>
    <x:col min="10" max="10" width="11" hidden="0" customWidth="1"/>
    <x:col min="11" max="11" width="12" hidden="0" customWidth="1"/>
    <x:col min="12" max="12" width="11" hidden="0" customWidth="1"/>
    <x:col min="13" max="13" width="18" hidden="0" customWidth="1"/>
    <x:col min="14" max="14" width="16" hidden="0" customWidth="1"/>
    <x:col min="15" max="15" width="14" hidden="0" customWidth="1"/>
    <x:col min="16" max="16" width="9" hidden="0" customWidth="1"/>
    <x:col min="17" max="17" width="48" hidden="0" customWidth="1"/>
  </x:cols>
  <x:sheetData>
    <x:row r="1" ht="32" customHeight="1">
      <x:c r="A1" s="3" t="str">
        <x:v>Tool Scorecard &amp; Shortlist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0" customHeight="1">
      <x:c r="A2" s="6" t="str">
        <x:v>Calculated recommendation = weighted capability score plus client-platform alignment. Confirm mandatory requirements and proof-of-capability before selection.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4">
      <x:c r="A4" s="11" t="str">
        <x:v>Tool / Platform</x:v>
      </x:c>
      <x:c r="B4" s="11" t="str">
        <x:v>RPA</x:v>
      </x:c>
      <x:c r="C4" s="11" t="str">
        <x:v>Workflow</x:v>
      </x:c>
      <x:c r="D4" s="11" t="str">
        <x:v>AI Agents</x:v>
      </x:c>
      <x:c r="E4" s="11" t="str">
        <x:v>Documents</x:v>
      </x:c>
      <x:c r="F4" s="11" t="str">
        <x:v>Discovery</x:v>
      </x:c>
      <x:c r="G4" s="11" t="str">
        <x:v>Governance</x:v>
      </x:c>
      <x:c r="H4" s="11" t="str">
        <x:v>Deployment</x:v>
      </x:c>
      <x:c r="I4" s="11" t="str">
        <x:v>Operations</x:v>
      </x:c>
      <x:c r="J4" s="11" t="str">
        <x:v>Skills</x:v>
      </x:c>
      <x:c r="K4" s="11" t="str">
        <x:v>Commercial</x:v>
      </x:c>
      <x:c r="L4" s="11" t="str">
        <x:v>Portability</x:v>
      </x:c>
      <x:c r="M4" s="11" t="str">
        <x:v>Platform Alignment</x:v>
      </x:c>
      <x:c r="N4" s="11" t="str">
        <x:v>Capability Score</x:v>
      </x:c>
      <x:c r="O4" s="11" t="str">
        <x:v>Overall Score</x:v>
      </x:c>
      <x:c r="P4" s="11" t="str">
        <x:v>Rank</x:v>
      </x:c>
      <x:c r="Q4" s="11" t="str">
        <x:v>Decision / Conditions</x:v>
      </x:c>
    </x:row>
    <x:row r="5">
      <x:c r="A5" s="16" t="str">
        <x:f>'Tool Catalogue'!A5</x:f>
        <x:v>Microsoft Power Automate + Copilot Studio</x:v>
      </x:c>
      <x:c r="B5" s="35" t="n">
        <x:f>'Tool Catalogue'!D5</x:f>
        <x:v>4</x:v>
      </x:c>
      <x:c r="C5" s="35" t="n">
        <x:f>'Tool Catalogue'!E5</x:f>
        <x:v>5</x:v>
      </x:c>
      <x:c r="D5" s="35" t="n">
        <x:f>'Tool Catalogue'!F5</x:f>
        <x:v>5</x:v>
      </x:c>
      <x:c r="E5" s="35" t="n">
        <x:f>'Tool Catalogue'!G5</x:f>
        <x:v>4</x:v>
      </x:c>
      <x:c r="F5" s="35" t="n">
        <x:f>'Tool Catalogue'!H5</x:f>
        <x:v>3</x:v>
      </x:c>
      <x:c r="G5" s="35" t="n">
        <x:f>'Tool Catalogue'!I5</x:f>
        <x:v>5</x:v>
      </x:c>
      <x:c r="H5" s="35" t="n">
        <x:f>'Tool Catalogue'!J5</x:f>
        <x:v>4</x:v>
      </x:c>
      <x:c r="I5" s="35" t="n">
        <x:f>'Tool Catalogue'!K5</x:f>
        <x:v>4</x:v>
      </x:c>
      <x:c r="J5" s="35" t="n">
        <x:f>'Resource Capacity'!K5</x:f>
        <x:v>4.6</x:v>
      </x:c>
      <x:c r="K5" s="35" t="n">
        <x:f>3</x:f>
        <x:v>3</x:v>
      </x:c>
      <x:c r="L5" s="35" t="n">
        <x:f>3</x:f>
        <x:v>3</x:v>
      </x:c>
      <x:c r="M5" s="35" t="n">
        <x:f>ROUND(('Tool Catalogue'!N5*'Client Platform Landscape'!$B$5+'Tool Catalogue'!O5*'Client Platform Landscape'!$B$6+'Tool Catalogue'!P5*'Client Platform Landscape'!$B$7+'Tool Catalogue'!Q5*'Client Platform Landscape'!$B$8+'Tool Catalogue'!R5*'Client Platform Landscape'!$B$9+'Tool Catalogue'!S5*'Client Platform Landscape'!$B$10+'Tool Catalogue'!T5*'Client Platform Landscape'!$B$11+'Tool Catalogue'!U5*'Client Platform Landscape'!$B$12)/MAX(1,SUM('Client Platform Landscape'!$B$5:$B$12)),1)</x:f>
        <x:v>3.1</x:v>
      </x:c>
      <x:c r="N5" s="35" t="n">
        <x:f>ROUND((B5*'Selection Criteria'!$B$5+C5*'Selection Criteria'!$B$6+D5*'Selection Criteria'!$B$7+E5*'Selection Criteria'!$B$8+F5*'Selection Criteria'!$B$9+G5*'Selection Criteria'!$B$11+H5*'Selection Criteria'!$B$12+I5*'Selection Criteria'!$B$13+J5*'Selection Criteria'!$B$14+K5*'Selection Criteria'!$B$15+L5*'Selection Criteria'!$B$16)*20,1)</x:f>
        <x:v>73.6</x:v>
      </x:c>
      <x:c r="O5" s="35" t="n">
        <x:f>ROUND(N5+M5*20*'Selection Criteria'!$B$17,1)</x:f>
        <x:v>75.5</x:v>
      </x:c>
      <x:c r="P5" s="16" t="n">
        <x:f>RANK(O5,$O$5:$O$13,0)</x:f>
        <x:v>2</x:v>
      </x:c>
      <x:c r="Q5" s="39" t="str">
        <x:f>IF(J5&lt;2.5,"RESOURCE GATE — build capacity or select an alternative",IF(J5&lt;3.5,"Resource remediation plan required","Capacity appears viable — validate named resources"))</x:f>
        <x:v>Capacity appears viable — validate named resources</x:v>
      </x:c>
    </x:row>
    <x:row r="6">
      <x:c r="A6" s="16" t="str">
        <x:f>'Tool Catalogue'!A6</x:f>
        <x:v>UiPath Platform</x:v>
      </x:c>
      <x:c r="B6" s="35" t="n">
        <x:f>'Tool Catalogue'!D6</x:f>
        <x:v>5</x:v>
      </x:c>
      <x:c r="C6" s="35" t="n">
        <x:f>'Tool Catalogue'!E6</x:f>
        <x:v>4</x:v>
      </x:c>
      <x:c r="D6" s="35" t="n">
        <x:f>'Tool Catalogue'!F6</x:f>
        <x:v>4</x:v>
      </x:c>
      <x:c r="E6" s="35" t="n">
        <x:f>'Tool Catalogue'!G6</x:f>
        <x:v>5</x:v>
      </x:c>
      <x:c r="F6" s="35" t="n">
        <x:f>'Tool Catalogue'!H6</x:f>
        <x:v>5</x:v>
      </x:c>
      <x:c r="G6" s="35" t="n">
        <x:f>'Tool Catalogue'!I6</x:f>
        <x:v>5</x:v>
      </x:c>
      <x:c r="H6" s="35" t="n">
        <x:f>'Tool Catalogue'!J6</x:f>
        <x:v>5</x:v>
      </x:c>
      <x:c r="I6" s="35" t="n">
        <x:f>'Tool Catalogue'!K6</x:f>
        <x:v>5</x:v>
      </x:c>
      <x:c r="J6" s="35" t="n">
        <x:f>'Resource Capacity'!K6</x:f>
        <x:v>4.2</x:v>
      </x:c>
      <x:c r="K6" s="35" t="n">
        <x:f>3</x:f>
        <x:v>3</x:v>
      </x:c>
      <x:c r="L6" s="35" t="n">
        <x:f>3</x:f>
        <x:v>3</x:v>
      </x:c>
      <x:c r="M6" s="35" t="n">
        <x:f>ROUND(('Tool Catalogue'!N6*'Client Platform Landscape'!$B$5+'Tool Catalogue'!O6*'Client Platform Landscape'!$B$6+'Tool Catalogue'!P6*'Client Platform Landscape'!$B$7+'Tool Catalogue'!Q6*'Client Platform Landscape'!$B$8+'Tool Catalogue'!R6*'Client Platform Landscape'!$B$9+'Tool Catalogue'!S6*'Client Platform Landscape'!$B$10+'Tool Catalogue'!T6*'Client Platform Landscape'!$B$11+'Tool Catalogue'!U6*'Client Platform Landscape'!$B$12)/MAX(1,SUM('Client Platform Landscape'!$B$5:$B$12)),1)</x:f>
        <x:v>3.2</x:v>
      </x:c>
      <x:c r="N6" s="35" t="n">
        <x:f>ROUND((B6*'Selection Criteria'!$B$5+C6*'Selection Criteria'!$B$6+D6*'Selection Criteria'!$B$7+E6*'Selection Criteria'!$B$8+F6*'Selection Criteria'!$B$9+G6*'Selection Criteria'!$B$11+H6*'Selection Criteria'!$B$12+I6*'Selection Criteria'!$B$13+J6*'Selection Criteria'!$B$14+K6*'Selection Criteria'!$B$15+L6*'Selection Criteria'!$B$16)*20,1)</x:f>
        <x:v>76.7</x:v>
      </x:c>
      <x:c r="O6" s="35" t="n">
        <x:f>ROUND(N6+M6*20*'Selection Criteria'!$B$17,1)</x:f>
        <x:v>78.6</x:v>
      </x:c>
      <x:c r="P6" s="16" t="n">
        <x:f>RANK(O6,$O$5:$O$13,0)</x:f>
        <x:v>1</x:v>
      </x:c>
      <x:c r="Q6" s="39" t="str">
        <x:f>IF(J6&lt;2.5,"RESOURCE GATE — build capacity or select an alternative",IF(J6&lt;3.5,"Resource remediation plan required","Capacity appears viable — validate named resources"))</x:f>
        <x:v>Capacity appears viable — validate named resources</x:v>
      </x:c>
    </x:row>
    <x:row r="7">
      <x:c r="A7" s="16" t="str">
        <x:f>'Tool Catalogue'!A7</x:f>
        <x:v>Automation Anywhere 360</x:v>
      </x:c>
      <x:c r="B7" s="35" t="n">
        <x:f>'Tool Catalogue'!D7</x:f>
        <x:v>5</x:v>
      </x:c>
      <x:c r="C7" s="35" t="n">
        <x:f>'Tool Catalogue'!E7</x:f>
        <x:v>4</x:v>
      </x:c>
      <x:c r="D7" s="35" t="n">
        <x:f>'Tool Catalogue'!F7</x:f>
        <x:v>4</x:v>
      </x:c>
      <x:c r="E7" s="35" t="n">
        <x:f>'Tool Catalogue'!G7</x:f>
        <x:v>4</x:v>
      </x:c>
      <x:c r="F7" s="35" t="n">
        <x:f>'Tool Catalogue'!H7</x:f>
        <x:v>5</x:v>
      </x:c>
      <x:c r="G7" s="35" t="n">
        <x:f>'Tool Catalogue'!I7</x:f>
        <x:v>4</x:v>
      </x:c>
      <x:c r="H7" s="35" t="n">
        <x:f>'Tool Catalogue'!J7</x:f>
        <x:v>5</x:v>
      </x:c>
      <x:c r="I7" s="35" t="n">
        <x:f>'Tool Catalogue'!K7</x:f>
        <x:v>4</x:v>
      </x:c>
      <x:c r="J7" s="35" t="n">
        <x:f>'Resource Capacity'!K7</x:f>
        <x:v>3.9</x:v>
      </x:c>
      <x:c r="K7" s="35" t="n">
        <x:f>3</x:f>
        <x:v>3</x:v>
      </x:c>
      <x:c r="L7" s="35" t="n">
        <x:f>3</x:f>
        <x:v>3</x:v>
      </x:c>
      <x:c r="M7" s="35" t="n">
        <x:f>ROUND(('Tool Catalogue'!N7*'Client Platform Landscape'!$B$5+'Tool Catalogue'!O7*'Client Platform Landscape'!$B$6+'Tool Catalogue'!P7*'Client Platform Landscape'!$B$7+'Tool Catalogue'!Q7*'Client Platform Landscape'!$B$8+'Tool Catalogue'!R7*'Client Platform Landscape'!$B$9+'Tool Catalogue'!S7*'Client Platform Landscape'!$B$10+'Tool Catalogue'!T7*'Client Platform Landscape'!$B$11+'Tool Catalogue'!U7*'Client Platform Landscape'!$B$12)/MAX(1,SUM('Client Platform Landscape'!$B$5:$B$12)),1)</x:f>
        <x:v>3</x:v>
      </x:c>
      <x:c r="N7" s="35" t="n">
        <x:f>ROUND((B7*'Selection Criteria'!$B$5+C7*'Selection Criteria'!$B$6+D7*'Selection Criteria'!$B$7+E7*'Selection Criteria'!$B$8+F7*'Selection Criteria'!$B$9+G7*'Selection Criteria'!$B$11+H7*'Selection Criteria'!$B$12+I7*'Selection Criteria'!$B$13+J7*'Selection Criteria'!$B$14+K7*'Selection Criteria'!$B$15+L7*'Selection Criteria'!$B$16)*20,1)</x:f>
        <x:v>70.8</x:v>
      </x:c>
      <x:c r="O7" s="35" t="n">
        <x:f>ROUND(N7+M7*20*'Selection Criteria'!$B$17,1)</x:f>
        <x:v>72.6</x:v>
      </x:c>
      <x:c r="P7" s="16" t="n">
        <x:f>RANK(O7,$O$5:$O$13,0)</x:f>
        <x:v>3</x:v>
      </x:c>
      <x:c r="Q7" s="39" t="str">
        <x:f>IF(J7&lt;2.5,"RESOURCE GATE — build capacity or select an alternative",IF(J7&lt;3.5,"Resource remediation plan required","Capacity appears viable — validate named resources"))</x:f>
        <x:v>Capacity appears viable — validate named resources</x:v>
      </x:c>
    </x:row>
    <x:row r="8">
      <x:c r="A8" s="16" t="str">
        <x:f>'Tool Catalogue'!A8</x:f>
        <x:v>SS&amp;C Blue Prism</x:v>
      </x:c>
      <x:c r="B8" s="35" t="n">
        <x:f>'Tool Catalogue'!D8</x:f>
        <x:v>5</x:v>
      </x:c>
      <x:c r="C8" s="35" t="n">
        <x:f>'Tool Catalogue'!E8</x:f>
        <x:v>3</x:v>
      </x:c>
      <x:c r="D8" s="35" t="n">
        <x:f>'Tool Catalogue'!F8</x:f>
        <x:v>2</x:v>
      </x:c>
      <x:c r="E8" s="35" t="n">
        <x:f>'Tool Catalogue'!G8</x:f>
        <x:v>3</x:v>
      </x:c>
      <x:c r="F8" s="35" t="n">
        <x:f>'Tool Catalogue'!H8</x:f>
        <x:v>3</x:v>
      </x:c>
      <x:c r="G8" s="35" t="n">
        <x:f>'Tool Catalogue'!I8</x:f>
        <x:v>5</x:v>
      </x:c>
      <x:c r="H8" s="35" t="n">
        <x:f>'Tool Catalogue'!J8</x:f>
        <x:v>5</x:v>
      </x:c>
      <x:c r="I8" s="35" t="n">
        <x:f>'Tool Catalogue'!K8</x:f>
        <x:v>4</x:v>
      </x:c>
      <x:c r="J8" s="35" t="n">
        <x:f>'Resource Capacity'!K8</x:f>
        <x:v>3.4</x:v>
      </x:c>
      <x:c r="K8" s="35" t="n">
        <x:f>3</x:f>
        <x:v>3</x:v>
      </x:c>
      <x:c r="L8" s="35" t="n">
        <x:f>3</x:f>
        <x:v>3</x:v>
      </x:c>
      <x:c r="M8" s="35" t="n">
        <x:f>ROUND(('Tool Catalogue'!N8*'Client Platform Landscape'!$B$5+'Tool Catalogue'!O8*'Client Platform Landscape'!$B$6+'Tool Catalogue'!P8*'Client Platform Landscape'!$B$7+'Tool Catalogue'!Q8*'Client Platform Landscape'!$B$8+'Tool Catalogue'!R8*'Client Platform Landscape'!$B$9+'Tool Catalogue'!S8*'Client Platform Landscape'!$B$10+'Tool Catalogue'!T8*'Client Platform Landscape'!$B$11+'Tool Catalogue'!U8*'Client Platform Landscape'!$B$12)/MAX(1,SUM('Client Platform Landscape'!$B$5:$B$12)),1)</x:f>
        <x:v>2.7</x:v>
      </x:c>
      <x:c r="N8" s="35" t="n">
        <x:f>ROUND((B8*'Selection Criteria'!$B$5+C8*'Selection Criteria'!$B$6+D8*'Selection Criteria'!$B$7+E8*'Selection Criteria'!$B$8+F8*'Selection Criteria'!$B$9+G8*'Selection Criteria'!$B$11+H8*'Selection Criteria'!$B$12+I8*'Selection Criteria'!$B$13+J8*'Selection Criteria'!$B$14+K8*'Selection Criteria'!$B$15+L8*'Selection Criteria'!$B$16)*20,1)</x:f>
        <x:v>63.6</x:v>
      </x:c>
      <x:c r="O8" s="35" t="n">
        <x:f>ROUND(N8+M8*20*'Selection Criteria'!$B$17,1)</x:f>
        <x:v>65.2</x:v>
      </x:c>
      <x:c r="P8" s="16" t="n">
        <x:f>RANK(O8,$O$5:$O$13,0)</x:f>
        <x:v>8</x:v>
      </x:c>
      <x:c r="Q8" s="39" t="str">
        <x:f>IF(J8&lt;2.5,"RESOURCE GATE — build capacity or select an alternative",IF(J8&lt;3.5,"Resource remediation plan required","Capacity appears viable — validate named resources"))</x:f>
        <x:v>Resource remediation plan required</x:v>
      </x:c>
    </x:row>
    <x:row r="9">
      <x:c r="A9" s="16" t="str">
        <x:f>'Tool Catalogue'!A9</x:f>
        <x:v>ServiceNow Workflow Data Fabric / Automation</x:v>
      </x:c>
      <x:c r="B9" s="35" t="n">
        <x:f>'Tool Catalogue'!D9</x:f>
        <x:v>3</x:v>
      </x:c>
      <x:c r="C9" s="35" t="n">
        <x:f>'Tool Catalogue'!E9</x:f>
        <x:v>5</x:v>
      </x:c>
      <x:c r="D9" s="35" t="n">
        <x:f>'Tool Catalogue'!F9</x:f>
        <x:v>4</x:v>
      </x:c>
      <x:c r="E9" s="35" t="n">
        <x:f>'Tool Catalogue'!G9</x:f>
        <x:v>4</x:v>
      </x:c>
      <x:c r="F9" s="35" t="n">
        <x:f>'Tool Catalogue'!H9</x:f>
        <x:v>3</x:v>
      </x:c>
      <x:c r="G9" s="35" t="n">
        <x:f>'Tool Catalogue'!I9</x:f>
        <x:v>5</x:v>
      </x:c>
      <x:c r="H9" s="35" t="n">
        <x:f>'Tool Catalogue'!J9</x:f>
        <x:v>4</x:v>
      </x:c>
      <x:c r="I9" s="35" t="n">
        <x:f>'Tool Catalogue'!K9</x:f>
        <x:v>5</x:v>
      </x:c>
      <x:c r="J9" s="35" t="n">
        <x:f>'Resource Capacity'!K9</x:f>
        <x:v>4.3</x:v>
      </x:c>
      <x:c r="K9" s="35" t="n">
        <x:f>3</x:f>
        <x:v>3</x:v>
      </x:c>
      <x:c r="L9" s="35" t="n">
        <x:f>3</x:f>
        <x:v>3</x:v>
      </x:c>
      <x:c r="M9" s="35" t="n">
        <x:f>ROUND(('Tool Catalogue'!N9*'Client Platform Landscape'!$B$5+'Tool Catalogue'!O9*'Client Platform Landscape'!$B$6+'Tool Catalogue'!P9*'Client Platform Landscape'!$B$7+'Tool Catalogue'!Q9*'Client Platform Landscape'!$B$8+'Tool Catalogue'!R9*'Client Platform Landscape'!$B$9+'Tool Catalogue'!S9*'Client Platform Landscape'!$B$10+'Tool Catalogue'!T9*'Client Platform Landscape'!$B$11+'Tool Catalogue'!U9*'Client Platform Landscape'!$B$12)/MAX(1,SUM('Client Platform Landscape'!$B$5:$B$12)),1)</x:f>
        <x:v>3.1</x:v>
      </x:c>
      <x:c r="N9" s="35" t="n">
        <x:f>ROUND((B9*'Selection Criteria'!$B$5+C9*'Selection Criteria'!$B$6+D9*'Selection Criteria'!$B$7+E9*'Selection Criteria'!$B$8+F9*'Selection Criteria'!$B$9+G9*'Selection Criteria'!$B$11+H9*'Selection Criteria'!$B$12+I9*'Selection Criteria'!$B$13+J9*'Selection Criteria'!$B$14+K9*'Selection Criteria'!$B$15+L9*'Selection Criteria'!$B$16)*20,1)</x:f>
        <x:v>70.5</x:v>
      </x:c>
      <x:c r="O9" s="35" t="n">
        <x:f>ROUND(N9+M9*20*'Selection Criteria'!$B$17,1)</x:f>
        <x:v>72.4</x:v>
      </x:c>
      <x:c r="P9" s="16" t="n">
        <x:f>RANK(O9,$O$5:$O$13,0)</x:f>
        <x:v>4</x:v>
      </x:c>
      <x:c r="Q9" s="39" t="str">
        <x:f>IF(J9&lt;2.5,"RESOURCE GATE — build capacity or select an alternative",IF(J9&lt;3.5,"Resource remediation plan required","Capacity appears viable — validate named resources"))</x:f>
        <x:v>Capacity appears viable — validate named resources</x:v>
      </x:c>
    </x:row>
    <x:row r="10">
      <x:c r="A10" s="16" t="str">
        <x:f>'Tool Catalogue'!A10</x:f>
        <x:v>Amazon Bedrock</x:v>
      </x:c>
      <x:c r="B10" s="35" t="n">
        <x:f>'Tool Catalogue'!D10</x:f>
        <x:v>1</x:v>
      </x:c>
      <x:c r="C10" s="35" t="n">
        <x:f>'Tool Catalogue'!E10</x:f>
        <x:v>4</x:v>
      </x:c>
      <x:c r="D10" s="35" t="n">
        <x:f>'Tool Catalogue'!F10</x:f>
        <x:v>5</x:v>
      </x:c>
      <x:c r="E10" s="35" t="n">
        <x:f>'Tool Catalogue'!G10</x:f>
        <x:v>4</x:v>
      </x:c>
      <x:c r="F10" s="35" t="n">
        <x:f>'Tool Catalogue'!H10</x:f>
        <x:v>2</x:v>
      </x:c>
      <x:c r="G10" s="35" t="n">
        <x:f>'Tool Catalogue'!I10</x:f>
        <x:v>5</x:v>
      </x:c>
      <x:c r="H10" s="35" t="n">
        <x:f>'Tool Catalogue'!J10</x:f>
        <x:v>5</x:v>
      </x:c>
      <x:c r="I10" s="35" t="n">
        <x:f>'Tool Catalogue'!K10</x:f>
        <x:v>3</x:v>
      </x:c>
      <x:c r="J10" s="35" t="n">
        <x:f>'Resource Capacity'!K10</x:f>
        <x:v>4</x:v>
      </x:c>
      <x:c r="K10" s="35" t="n">
        <x:f>3</x:f>
        <x:v>3</x:v>
      </x:c>
      <x:c r="L10" s="35" t="n">
        <x:f>3</x:f>
        <x:v>3</x:v>
      </x:c>
      <x:c r="M10" s="35" t="n">
        <x:f>ROUND(('Tool Catalogue'!N10*'Client Platform Landscape'!$B$5+'Tool Catalogue'!O10*'Client Platform Landscape'!$B$6+'Tool Catalogue'!P10*'Client Platform Landscape'!$B$7+'Tool Catalogue'!Q10*'Client Platform Landscape'!$B$8+'Tool Catalogue'!R10*'Client Platform Landscape'!$B$9+'Tool Catalogue'!S10*'Client Platform Landscape'!$B$10+'Tool Catalogue'!T10*'Client Platform Landscape'!$B$11+'Tool Catalogue'!U10*'Client Platform Landscape'!$B$12)/MAX(1,SUM('Client Platform Landscape'!$B$5:$B$12)),1)</x:f>
        <x:v>2.9</x:v>
      </x:c>
      <x:c r="N10" s="35" t="n">
        <x:f>ROUND((B10*'Selection Criteria'!$B$5+C10*'Selection Criteria'!$B$6+D10*'Selection Criteria'!$B$7+E10*'Selection Criteria'!$B$8+F10*'Selection Criteria'!$B$9+G10*'Selection Criteria'!$B$11+H10*'Selection Criteria'!$B$12+I10*'Selection Criteria'!$B$13+J10*'Selection Criteria'!$B$14+K10*'Selection Criteria'!$B$15+L10*'Selection Criteria'!$B$16)*20,1)</x:f>
        <x:v>63.8</x:v>
      </x:c>
      <x:c r="O10" s="35" t="n">
        <x:f>ROUND(N10+M10*20*'Selection Criteria'!$B$17,1)</x:f>
        <x:v>65.5</x:v>
      </x:c>
      <x:c r="P10" s="16" t="n">
        <x:f>RANK(O10,$O$5:$O$13,0)</x:f>
        <x:v>7</x:v>
      </x:c>
      <x:c r="Q10" s="39" t="str">
        <x:f>IF(J10&lt;2.5,"RESOURCE GATE — build capacity or select an alternative",IF(J10&lt;3.5,"Resource remediation plan required","Capacity appears viable — validate named resources"))</x:f>
        <x:v>Capacity appears viable — validate named resources</x:v>
      </x:c>
    </x:row>
    <x:row r="11">
      <x:c r="A11" s="16" t="str">
        <x:f>'Tool Catalogue'!A11</x:f>
        <x:v>Google Vertex AI</x:v>
      </x:c>
      <x:c r="B11" s="35" t="n">
        <x:f>'Tool Catalogue'!D11</x:f>
        <x:v>1</x:v>
      </x:c>
      <x:c r="C11" s="35" t="n">
        <x:f>'Tool Catalogue'!E11</x:f>
        <x:v>4</x:v>
      </x:c>
      <x:c r="D11" s="35" t="n">
        <x:f>'Tool Catalogue'!F11</x:f>
        <x:v>5</x:v>
      </x:c>
      <x:c r="E11" s="35" t="n">
        <x:f>'Tool Catalogue'!G11</x:f>
        <x:v>4</x:v>
      </x:c>
      <x:c r="F11" s="35" t="n">
        <x:f>'Tool Catalogue'!H11</x:f>
        <x:v>2</x:v>
      </x:c>
      <x:c r="G11" s="35" t="n">
        <x:f>'Tool Catalogue'!I11</x:f>
        <x:v>5</x:v>
      </x:c>
      <x:c r="H11" s="35" t="n">
        <x:f>'Tool Catalogue'!J11</x:f>
        <x:v>5</x:v>
      </x:c>
      <x:c r="I11" s="35" t="n">
        <x:f>'Tool Catalogue'!K11</x:f>
        <x:v>3</x:v>
      </x:c>
      <x:c r="J11" s="35" t="n">
        <x:f>'Resource Capacity'!K11</x:f>
        <x:v>3.8</x:v>
      </x:c>
      <x:c r="K11" s="35" t="n">
        <x:f>3</x:f>
        <x:v>3</x:v>
      </x:c>
      <x:c r="L11" s="35" t="n">
        <x:f>3</x:f>
        <x:v>3</x:v>
      </x:c>
      <x:c r="M11" s="35" t="n">
        <x:f>ROUND(('Tool Catalogue'!N11*'Client Platform Landscape'!$B$5+'Tool Catalogue'!O11*'Client Platform Landscape'!$B$6+'Tool Catalogue'!P11*'Client Platform Landscape'!$B$7+'Tool Catalogue'!Q11*'Client Platform Landscape'!$B$8+'Tool Catalogue'!R11*'Client Platform Landscape'!$B$9+'Tool Catalogue'!S11*'Client Platform Landscape'!$B$10+'Tool Catalogue'!T11*'Client Platform Landscape'!$B$11+'Tool Catalogue'!U11*'Client Platform Landscape'!$B$12)/MAX(1,SUM('Client Platform Landscape'!$B$5:$B$12)),1)</x:f>
        <x:v>3.5</x:v>
      </x:c>
      <x:c r="N11" s="35" t="n">
        <x:f>ROUND((B11*'Selection Criteria'!$B$5+C11*'Selection Criteria'!$B$6+D11*'Selection Criteria'!$B$7+E11*'Selection Criteria'!$B$8+F11*'Selection Criteria'!$B$9+G11*'Selection Criteria'!$B$11+H11*'Selection Criteria'!$B$12+I11*'Selection Criteria'!$B$13+J11*'Selection Criteria'!$B$14+K11*'Selection Criteria'!$B$15+L11*'Selection Criteria'!$B$16)*20,1)</x:f>
        <x:v>63.5</x:v>
      </x:c>
      <x:c r="O11" s="35" t="n">
        <x:f>ROUND(N11+M11*20*'Selection Criteria'!$B$17,1)</x:f>
        <x:v>65.6</x:v>
      </x:c>
      <x:c r="P11" s="16" t="n">
        <x:f>RANK(O11,$O$5:$O$13,0)</x:f>
        <x:v>6</x:v>
      </x:c>
      <x:c r="Q11" s="39" t="str">
        <x:f>IF(J11&lt;2.5,"RESOURCE GATE — build capacity or select an alternative",IF(J11&lt;3.5,"Resource remediation plan required","Capacity appears viable — validate named resources"))</x:f>
        <x:v>Capacity appears viable — validate named resources</x:v>
      </x:c>
    </x:row>
    <x:row r="12">
      <x:c r="A12" s="16" t="str">
        <x:f>'Tool Catalogue'!A12</x:f>
        <x:v>IBM watsonx Orchestrate</x:v>
      </x:c>
      <x:c r="B12" s="35" t="n">
        <x:f>'Tool Catalogue'!D12</x:f>
        <x:v>2</x:v>
      </x:c>
      <x:c r="C12" s="35" t="n">
        <x:f>'Tool Catalogue'!E12</x:f>
        <x:v>4</x:v>
      </x:c>
      <x:c r="D12" s="35" t="n">
        <x:f>'Tool Catalogue'!F12</x:f>
        <x:v>5</x:v>
      </x:c>
      <x:c r="E12" s="35" t="n">
        <x:f>'Tool Catalogue'!G12</x:f>
        <x:v>3</x:v>
      </x:c>
      <x:c r="F12" s="35" t="n">
        <x:f>'Tool Catalogue'!H12</x:f>
        <x:v>2</x:v>
      </x:c>
      <x:c r="G12" s="35" t="n">
        <x:f>'Tool Catalogue'!I12</x:f>
        <x:v>5</x:v>
      </x:c>
      <x:c r="H12" s="35" t="n">
        <x:f>'Tool Catalogue'!J12</x:f>
        <x:v>5</x:v>
      </x:c>
      <x:c r="I12" s="35" t="n">
        <x:f>'Tool Catalogue'!K12</x:f>
        <x:v>4</x:v>
      </x:c>
      <x:c r="J12" s="35" t="n">
        <x:f>'Resource Capacity'!K12</x:f>
        <x:v>3.3</x:v>
      </x:c>
      <x:c r="K12" s="35" t="n">
        <x:f>3</x:f>
        <x:v>3</x:v>
      </x:c>
      <x:c r="L12" s="35" t="n">
        <x:f>3</x:f>
        <x:v>3</x:v>
      </x:c>
      <x:c r="M12" s="35" t="n">
        <x:f>ROUND(('Tool Catalogue'!N12*'Client Platform Landscape'!$B$5+'Tool Catalogue'!O12*'Client Platform Landscape'!$B$6+'Tool Catalogue'!P12*'Client Platform Landscape'!$B$7+'Tool Catalogue'!Q12*'Client Platform Landscape'!$B$8+'Tool Catalogue'!R12*'Client Platform Landscape'!$B$9+'Tool Catalogue'!S12*'Client Platform Landscape'!$B$10+'Tool Catalogue'!T12*'Client Platform Landscape'!$B$11+'Tool Catalogue'!U12*'Client Platform Landscape'!$B$12)/MAX(1,SUM('Client Platform Landscape'!$B$5:$B$12)),1)</x:f>
        <x:v>3.4</x:v>
      </x:c>
      <x:c r="N12" s="35" t="n">
        <x:f>ROUND((B12*'Selection Criteria'!$B$5+C12*'Selection Criteria'!$B$6+D12*'Selection Criteria'!$B$7+E12*'Selection Criteria'!$B$8+F12*'Selection Criteria'!$B$9+G12*'Selection Criteria'!$B$11+H12*'Selection Criteria'!$B$12+I12*'Selection Criteria'!$B$13+J12*'Selection Criteria'!$B$14+K12*'Selection Criteria'!$B$15+L12*'Selection Criteria'!$B$16)*20,1)</x:f>
        <x:v>64.7</x:v>
      </x:c>
      <x:c r="O12" s="35" t="n">
        <x:f>ROUND(N12+M12*20*'Selection Criteria'!$B$17,1)</x:f>
        <x:v>66.7</x:v>
      </x:c>
      <x:c r="P12" s="16" t="n">
        <x:f>RANK(O12,$O$5:$O$13,0)</x:f>
        <x:v>5</x:v>
      </x:c>
      <x:c r="Q12" s="39" t="str">
        <x:f>IF(J12&lt;2.5,"RESOURCE GATE — build capacity or select an alternative",IF(J12&lt;3.5,"Resource remediation plan required","Capacity appears viable — validate named resources"))</x:f>
        <x:v>Resource remediation plan required</x:v>
      </x:c>
    </x:row>
    <x:row r="13">
      <x:c r="A13" s="17" t="str">
        <x:f>'Tool Catalogue'!A13</x:f>
        <x:v>OpenAI API Platform</x:v>
      </x:c>
      <x:c r="B13" s="36" t="n">
        <x:f>'Tool Catalogue'!D13</x:f>
        <x:v>1</x:v>
      </x:c>
      <x:c r="C13" s="36" t="n">
        <x:f>'Tool Catalogue'!E13</x:f>
        <x:v>4</x:v>
      </x:c>
      <x:c r="D13" s="36" t="n">
        <x:f>'Tool Catalogue'!F13</x:f>
        <x:v>5</x:v>
      </x:c>
      <x:c r="E13" s="36" t="n">
        <x:f>'Tool Catalogue'!G13</x:f>
        <x:v>4</x:v>
      </x:c>
      <x:c r="F13" s="36" t="n">
        <x:f>'Tool Catalogue'!H13</x:f>
        <x:v>1</x:v>
      </x:c>
      <x:c r="G13" s="36" t="n">
        <x:f>'Tool Catalogue'!I13</x:f>
        <x:v>4</x:v>
      </x:c>
      <x:c r="H13" s="36" t="n">
        <x:f>'Tool Catalogue'!J13</x:f>
        <x:v>4</x:v>
      </x:c>
      <x:c r="I13" s="36" t="n">
        <x:f>'Tool Catalogue'!K13</x:f>
        <x:v>2</x:v>
      </x:c>
      <x:c r="J13" s="36" t="n">
        <x:f>'Resource Capacity'!K13</x:f>
        <x:v>3.9</x:v>
      </x:c>
      <x:c r="K13" s="36" t="n">
        <x:f>3</x:f>
        <x:v>3</x:v>
      </x:c>
      <x:c r="L13" s="36" t="n">
        <x:f>3</x:f>
        <x:v>3</x:v>
      </x:c>
      <x:c r="M13" s="36" t="n">
        <x:f>ROUND(('Tool Catalogue'!N13*'Client Platform Landscape'!$B$5+'Tool Catalogue'!O13*'Client Platform Landscape'!$B$6+'Tool Catalogue'!P13*'Client Platform Landscape'!$B$7+'Tool Catalogue'!Q13*'Client Platform Landscape'!$B$8+'Tool Catalogue'!R13*'Client Platform Landscape'!$B$9+'Tool Catalogue'!S13*'Client Platform Landscape'!$B$10+'Tool Catalogue'!T13*'Client Platform Landscape'!$B$11+'Tool Catalogue'!U13*'Client Platform Landscape'!$B$12)/MAX(1,SUM('Client Platform Landscape'!$B$5:$B$12)),1)</x:f>
        <x:v>3.6</x:v>
      </x:c>
      <x:c r="N13" s="36" t="n">
        <x:f>ROUND((B13*'Selection Criteria'!$B$5+C13*'Selection Criteria'!$B$6+D13*'Selection Criteria'!$B$7+E13*'Selection Criteria'!$B$8+F13*'Selection Criteria'!$B$9+G13*'Selection Criteria'!$B$11+H13*'Selection Criteria'!$B$12+I13*'Selection Criteria'!$B$13+J13*'Selection Criteria'!$B$14+K13*'Selection Criteria'!$B$15+L13*'Selection Criteria'!$B$16)*20,1)</x:f>
        <x:v>57.4</x:v>
      </x:c>
      <x:c r="O13" s="36" t="n">
        <x:f>ROUND(N13+M13*20*'Selection Criteria'!$B$17,1)</x:f>
        <x:v>59.6</x:v>
      </x:c>
      <x:c r="P13" s="17" t="n">
        <x:f>RANK(O13,$O$5:$O$13,0)</x:f>
        <x:v>9</x:v>
      </x:c>
      <x:c r="Q13" s="40" t="str">
        <x:f>IF(J13&lt;2.5,"RESOURCE GATE — build capacity or select an alternative",IF(J13&lt;3.5,"Resource remediation plan required","Capacity appears viable — validate named resources"))</x:f>
        <x:v>Capacity appears viable — validate named resources</x:v>
      </x:c>
    </x:row>
  </x:sheetData>
  <x:mergeCells>
    <x:mergeCell ref="A1:Q1"/>
    <x:mergeCell ref="A2:Q2"/>
  </x:mergeCells>
  <x:conditionalFormatting sqref="O5:O13">
    <x:cfRule type="colorScale" priority="1">
      <x:colorScale>
        <x:cfvo type="min"/>
        <x:cfvo type="percentile" val="50"/>
        <x:cfvo type="max"/>
        <x:color rgb="FFF2DDDC"/>
        <x:color rgb="FFF5E9D5"/>
        <x:color rgb="FFDDECE4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aad86139b2d4cf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0" hidden="0" customWidth="1"/>
    <x:col min="3" max="3" width="40" hidden="0" customWidth="1"/>
    <x:col min="4" max="4" width="22" hidden="0" customWidth="1"/>
    <x:col min="5" max="5" width="15" hidden="0" customWidth="1"/>
    <x:col min="6" max="6" width="42" hidden="0" customWidth="1"/>
    <x:col min="7" max="7" width="22" hidden="0" customWidth="1"/>
    <x:col min="8" max="8" width="15" hidden="0" customWidth="1"/>
  </x:cols>
  <x:sheetData>
    <x:row r="1" ht="32" customHeight="1">
      <x:c r="A1" s="3" t="str">
        <x:v>Tool Selection Decision Record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Document the evidence and rationale for the selected platform. A recommendation is incomplete without conditions, ownership and an exit strategy.</x:v>
      </x:c>
      <x:c r="B2" s="6"/>
      <x:c r="C2" s="6"/>
      <x:c r="D2" s="6"/>
      <x:c r="E2" s="6"/>
      <x:c r="F2" s="6"/>
      <x:c r="G2" s="6"/>
      <x:c r="H2" s="6"/>
    </x:row>
    <x:row r="4">
      <x:c r="A4" s="11" t="str">
        <x:v>Decision Field</x:v>
      </x:c>
      <x:c r="B4" s="11" t="str">
        <x:v>Entry</x:v>
      </x:c>
      <x:c r="C4" s="11" t="str">
        <x:v>Evidence / Link</x:v>
      </x:c>
      <x:c r="D4" s="11" t="str">
        <x:v>Approver</x:v>
      </x:c>
      <x:c r="E4" s="11" t="str">
        <x:v>Date</x:v>
      </x:c>
      <x:c r="F4" s="11" t="str">
        <x:v>Condition / Action</x:v>
      </x:c>
      <x:c r="G4" s="11" t="str">
        <x:v>Owner</x:v>
      </x:c>
      <x:c r="H4" s="11" t="str">
        <x:v>Due Date</x:v>
      </x:c>
    </x:row>
    <x:row r="5">
      <x:c r="A5" t="str">
        <x:v>Use case / portfolio scope</x:v>
      </x:c>
      <x:c r="B5" s="24"/>
      <x:c r="C5" s="24"/>
      <x:c r="D5" s="24"/>
      <x:c r="E5" s="41"/>
      <x:c r="F5" s="24"/>
      <x:c r="G5" s="24"/>
      <x:c r="H5" s="41"/>
    </x:row>
    <x:row r="6">
      <x:c r="A6" t="str">
        <x:v>Shortlisted tools</x:v>
      </x:c>
      <x:c r="B6" s="24"/>
      <x:c r="C6" s="24"/>
      <x:c r="D6" s="24"/>
      <x:c r="E6" s="41"/>
      <x:c r="F6" s="24"/>
      <x:c r="G6" s="24"/>
      <x:c r="H6" s="41"/>
    </x:row>
    <x:row r="7">
      <x:c r="A7" t="str">
        <x:v>Selected tool(s)</x:v>
      </x:c>
      <x:c r="B7" s="24"/>
      <x:c r="C7" s="24"/>
      <x:c r="D7" s="24"/>
      <x:c r="E7" s="41"/>
      <x:c r="F7" s="24"/>
      <x:c r="G7" s="24"/>
      <x:c r="H7" s="41"/>
    </x:row>
    <x:row r="8">
      <x:c r="A8" t="str">
        <x:v>Why it fits the client platform</x:v>
      </x:c>
      <x:c r="B8" s="24"/>
      <x:c r="C8" s="24"/>
      <x:c r="D8" s="24"/>
      <x:c r="E8" s="41"/>
      <x:c r="F8" s="24"/>
      <x:c r="G8" s="24"/>
      <x:c r="H8" s="41"/>
    </x:row>
    <x:row r="9">
      <x:c r="A9" t="str">
        <x:v>Mandatory capability validation</x:v>
      </x:c>
      <x:c r="B9" s="24"/>
      <x:c r="C9" s="24"/>
      <x:c r="D9" s="24"/>
      <x:c r="E9" s="41"/>
      <x:c r="F9" s="24"/>
      <x:c r="G9" s="24"/>
      <x:c r="H9" s="41"/>
    </x:row>
    <x:row r="10">
      <x:c r="A10" t="str">
        <x:v>Resource availability and capacity outcome</x:v>
      </x:c>
      <x:c r="B10" s="24"/>
      <x:c r="C10" s="24"/>
      <x:c r="D10" s="24"/>
      <x:c r="E10" s="41"/>
      <x:c r="F10" s="24"/>
      <x:c r="G10" s="24"/>
      <x:c r="H10" s="41"/>
    </x:row>
    <x:row r="11">
      <x:c r="A11" t="str">
        <x:v>Security / privacy / regulatory outcome</x:v>
      </x:c>
      <x:c r="B11" s="24"/>
      <x:c r="C11" s="24"/>
      <x:c r="D11" s="24"/>
      <x:c r="E11" s="41"/>
      <x:c r="F11" s="24"/>
      <x:c r="G11" s="24"/>
      <x:c r="H11" s="41"/>
    </x:row>
    <x:row r="12">
      <x:c r="A12" t="str">
        <x:v>Architecture and integration outcome</x:v>
      </x:c>
      <x:c r="B12" s="24"/>
      <x:c r="C12" s="24"/>
      <x:c r="D12" s="24"/>
      <x:c r="E12" s="41"/>
      <x:c r="F12" s="24"/>
      <x:c r="G12" s="24"/>
      <x:c r="H12" s="41"/>
    </x:row>
    <x:row r="13">
      <x:c r="A13" t="str">
        <x:v>Three-year TCO outcome</x:v>
      </x:c>
      <x:c r="B13" s="24"/>
      <x:c r="C13" s="24"/>
      <x:c r="D13" s="24"/>
      <x:c r="E13" s="41"/>
      <x:c r="F13" s="24"/>
      <x:c r="G13" s="24"/>
      <x:c r="H13" s="41"/>
    </x:row>
    <x:row r="14">
      <x:c r="A14" t="str">
        <x:v>Pilot results</x:v>
      </x:c>
      <x:c r="B14" s="24"/>
      <x:c r="C14" s="24"/>
      <x:c r="D14" s="24"/>
      <x:c r="E14" s="41"/>
      <x:c r="F14" s="24"/>
      <x:c r="G14" s="24"/>
      <x:c r="H14" s="41"/>
    </x:row>
    <x:row r="15">
      <x:c r="A15" t="str">
        <x:v>Key limitations accepted</x:v>
      </x:c>
      <x:c r="B15" s="24"/>
      <x:c r="C15" s="24"/>
      <x:c r="D15" s="24"/>
      <x:c r="E15" s="41"/>
      <x:c r="F15" s="24"/>
      <x:c r="G15" s="24"/>
      <x:c r="H15" s="41"/>
    </x:row>
    <x:row r="16">
      <x:c r="A16" t="str">
        <x:v>Conditions before production</x:v>
      </x:c>
      <x:c r="B16" s="24"/>
      <x:c r="C16" s="24"/>
      <x:c r="D16" s="24"/>
      <x:c r="E16" s="41"/>
      <x:c r="F16" s="24"/>
      <x:c r="G16" s="24"/>
      <x:c r="H16" s="41"/>
    </x:row>
    <x:row r="17">
      <x:c r="A17" t="str">
        <x:v>Portability / exit strategy</x:v>
      </x:c>
      <x:c r="B17" s="24"/>
      <x:c r="C17" s="24"/>
      <x:c r="D17" s="24"/>
      <x:c r="E17" s="41"/>
      <x:c r="F17" s="24"/>
      <x:c r="G17" s="24"/>
      <x:c r="H17" s="41"/>
    </x:row>
    <x:row r="18">
      <x:c r="A18" t="str">
        <x:v>Dissent or alternative view</x:v>
      </x:c>
      <x:c r="B18" s="24"/>
      <x:c r="C18" s="24"/>
      <x:c r="D18" s="24"/>
      <x:c r="E18" s="41"/>
      <x:c r="F18" s="24"/>
      <x:c r="G18" s="24"/>
      <x:c r="H18" s="41"/>
    </x:row>
    <x:row r="19">
      <x:c r="A19" t="str">
        <x:v>Approval decision</x:v>
      </x:c>
      <x:c r="B19" s="24"/>
      <x:c r="C19" s="24"/>
      <x:c r="D19" s="24"/>
      <x:c r="E19" s="41"/>
      <x:c r="F19" s="24"/>
      <x:c r="G19" s="24"/>
      <x:c r="H19" s="41"/>
    </x:row>
    <x:row r="20">
      <x:c r="A20" t="str">
        <x:v>Next review trigger</x:v>
      </x:c>
      <x:c r="B20" s="24"/>
      <x:c r="C20" s="24"/>
      <x:c r="D20" s="24"/>
      <x:c r="E20" s="41"/>
      <x:c r="F20" s="24"/>
      <x:c r="G20" s="24"/>
      <x:c r="H20" s="41"/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72" hidden="0" customWidth="1"/>
    <x:col min="4" max="4" width="48" hidden="0" customWidth="1"/>
    <x:col min="5" max="5" width="16" hidden="0" customWidth="1"/>
    <x:col min="6" max="6" width="42" hidden="0" customWidth="1"/>
  </x:cols>
  <x:sheetData>
    <x:row r="1" ht="32" customHeight="1">
      <x:c r="A1" s="3" t="str">
        <x:v>Official Product Sources</x:v>
      </x:c>
      <x:c r="B1" s="3"/>
      <x:c r="C1" s="3"/>
      <x:c r="D1" s="3"/>
      <x:c r="E1" s="3"/>
      <x:c r="F1" s="3"/>
    </x:row>
    <x:row r="2" ht="30" customHeight="1">
      <x:c r="A2" s="6" t="str">
        <x:v>Feature statements should be revalidated during procurement because product names, editions, regions, licensing and release status change.</x:v>
      </x:c>
      <x:c r="B2" s="6"/>
      <x:c r="C2" s="6"/>
      <x:c r="D2" s="6"/>
      <x:c r="E2" s="6"/>
      <x:c r="F2" s="6"/>
    </x:row>
    <x:row r="4">
      <x:c r="A4" s="11" t="str">
        <x:v>Source ID</x:v>
      </x:c>
      <x:c r="B4" s="11" t="str">
        <x:v>Vendor / Product</x:v>
      </x:c>
      <x:c r="C4" s="11" t="str">
        <x:v>Official URL</x:v>
      </x:c>
      <x:c r="D4" s="11" t="str">
        <x:v>Capabilities supported</x:v>
      </x:c>
      <x:c r="E4" s="11" t="str">
        <x:v>Checked</x:v>
      </x:c>
      <x:c r="F4" s="11" t="str">
        <x:v>Procurement note</x:v>
      </x:c>
    </x:row>
    <x:row r="5">
      <x:c r="A5" s="16" t="str">
        <x:v>SRC-001</x:v>
      </x:c>
      <x:c r="B5" s="16" t="str">
        <x:v>Microsoft Power Automate desktop flows</x:v>
      </x:c>
      <x:c r="C5" s="16" t="str">
        <x:v>https://learn.microsoft.com/en-us/power-automate/desktop-flows/trigger-desktop-flows</x:v>
      </x:c>
      <x:c r="D5" s="16" t="str">
        <x:v>Desktop flows, machines, attended/unattended execution and cloud-flow invocation</x:v>
      </x:c>
      <x:c r="E5" s="42" t="str">
        <x:v>2026-07-19</x:v>
      </x:c>
      <x:c r="F5" s="16" t="str">
        <x:v>Confirm licensing, regions and run capacity</x:v>
      </x:c>
    </x:row>
    <x:row r="6">
      <x:c r="A6" s="16" t="str">
        <x:v>SRC-002</x:v>
      </x:c>
      <x:c r="B6" s="16" t="str">
        <x:v>Microsoft Copilot Studio</x:v>
      </x:c>
      <x:c r="C6" s="16" t="str">
        <x:v>https://learn.microsoft.com/en-us/microsoft-copilot-studio/</x:v>
      </x:c>
      <x:c r="D6" s="16" t="str">
        <x:v>Agents, knowledge, tools, connectors, evaluations, analytics and channels</x:v>
      </x:c>
      <x:c r="E6" s="42" t="str">
        <x:v>2026-07-19</x:v>
      </x:c>
      <x:c r="F6" s="16" t="str">
        <x:v>Validate feature release status and tenant configuration</x:v>
      </x:c>
    </x:row>
    <x:row r="7">
      <x:c r="A7" s="16" t="str">
        <x:v>SRC-003</x:v>
      </x:c>
      <x:c r="B7" s="16" t="str">
        <x:v>Copilot Studio governance</x:v>
      </x:c>
      <x:c r="C7" s="16" t="str">
        <x:v>https://learn.microsoft.com/en-gb/microsoft-copilot-studio/security-and-governance</x:v>
      </x:c>
      <x:c r="D7" s="16" t="str">
        <x:v>Data policies, environments, publishing, residency and governance controls</x:v>
      </x:c>
      <x:c r="E7" s="42" t="str">
        <x:v>2026-07-19</x:v>
      </x:c>
      <x:c r="F7" s="16" t="str">
        <x:v>Map controls to client Power Platform strategy</x:v>
      </x:c>
    </x:row>
    <x:row r="8">
      <x:c r="A8" s="16" t="str">
        <x:v>SRC-004</x:v>
      </x:c>
      <x:c r="B8" s="16" t="str">
        <x:v>UiPath Document Understanding</x:v>
      </x:c>
      <x:c r="C8" s="16" t="str">
        <x:v>https://docs.uipath.com/document-understanding/automation-cloud/latest/user-guide/about-document-understanding</x:v>
      </x:c>
      <x:c r="D8" s="16" t="str">
        <x:v>RPA + AI document extraction, interpretation and human validation</x:v>
      </x:c>
      <x:c r="E8" s="42" t="str">
        <x:v>2026-07-19</x:v>
      </x:c>
      <x:c r="F8" s="16" t="str">
        <x:v>Validate deployment type and document accuracy</x:v>
      </x:c>
    </x:row>
    <x:row r="9">
      <x:c r="A9" s="16" t="str">
        <x:v>SRC-005</x:v>
      </x:c>
      <x:c r="B9" s="16" t="str">
        <x:v>UiPath Process Mining</x:v>
      </x:c>
      <x:c r="C9" s="16" t="str">
        <x:v>https://docs.uipath.com/process-mining/automation-cloud/latest/user-guide/process-mining-architecture-overview</x:v>
      </x:c>
      <x:c r="D9" s="16" t="str">
        <x:v>Process data extraction, transformation and dashboards</x:v>
      </x:c>
      <x:c r="E9" s="42" t="str">
        <x:v>2026-07-19</x:v>
      </x:c>
      <x:c r="F9" s="16" t="str">
        <x:v>Confirm source connectors and data-handling design</x:v>
      </x:c>
    </x:row>
    <x:row r="10">
      <x:c r="A10" s="16" t="str">
        <x:v>SRC-006</x:v>
      </x:c>
      <x:c r="B10" s="16" t="str">
        <x:v>Automation Anywhere 360</x:v>
      </x:c>
      <x:c r="C10" s="16" t="str">
        <x:v>https://docs.automationanywhere.com/r/cloud-automation-anywhere-enterprise-overview</x:v>
      </x:c>
      <x:c r="D10" s="16" t="str">
        <x:v>RPA, AI agents, APIs, orchestration, IDP, analytics and deployment options</x:v>
      </x:c>
      <x:c r="E10" s="42" t="str">
        <x:v>2026-07-19</x:v>
      </x:c>
      <x:c r="F10" s="16" t="str">
        <x:v>Confirm edition, region and license availability</x:v>
      </x:c>
    </x:row>
    <x:row r="11">
      <x:c r="A11" s="16" t="str">
        <x:v>SRC-007</x:v>
      </x:c>
      <x:c r="B11" s="16" t="str">
        <x:v>Automation Anywhere Process Discovery</x:v>
      </x:c>
      <x:c r="C11" s="16" t="str">
        <x:v>https://docs.automationanywhere.com/r/automation-360/process-discovery-overview</x:v>
      </x:c>
      <x:c r="D11" s="16" t="str">
        <x:v>Process capture, analysis, ROI comparison and PDD output</x:v>
      </x:c>
      <x:c r="E11" s="42" t="str">
        <x:v>2026-07-19</x:v>
      </x:c>
      <x:c r="F11" s="16" t="str">
        <x:v>Assess employee privacy and capture controls</x:v>
      </x:c>
    </x:row>
    <x:row r="12">
      <x:c r="A12" s="16" t="str">
        <x:v>SRC-008</x:v>
      </x:c>
      <x:c r="B12" s="16" t="str">
        <x:v>SS&amp;C Blue Prism documentation</x:v>
      </x:c>
      <x:c r="C12" s="16" t="str">
        <x:v>https://documentation.blueprism.com/</x:v>
      </x:c>
      <x:c r="D12" s="16" t="str">
        <x:v>Enterprise RPA platform documentation and release-specific capabilities</x:v>
      </x:c>
      <x:c r="E12" s="42" t="str">
        <x:v>2026-07-19</x:v>
      </x:c>
      <x:c r="F12" s="16" t="str">
        <x:v>Validate selected version and AI roadmap</x:v>
      </x:c>
    </x:row>
    <x:row r="13">
      <x:c r="A13" s="16" t="str">
        <x:v>SRC-009</x:v>
      </x:c>
      <x:c r="B13" s="16" t="str">
        <x:v>ServiceNow automation</x:v>
      </x:c>
      <x:c r="C13" s="16" t="str">
        <x:v>https://www.servicenow.com/products/automation-engine.html</x:v>
      </x:c>
      <x:c r="D13" s="16" t="str">
        <x:v>IntegrationHub, RPA Hub, Automation Center and Document Intelligence</x:v>
      </x:c>
      <x:c r="E13" s="42" t="str">
        <x:v>2026-07-19</x:v>
      </x:c>
      <x:c r="F13" s="16" t="str">
        <x:v>Product now presented within Workflow Data Fabric; confirm packaging</x:v>
      </x:c>
    </x:row>
    <x:row r="14">
      <x:c r="A14" s="16" t="str">
        <x:v>SRC-010</x:v>
      </x:c>
      <x:c r="B14" s="16" t="str">
        <x:v>Amazon Bedrock Agents</x:v>
      </x:c>
      <x:c r="C14" s="16" t="str">
        <x:v>https://docs.aws.amazon.com/bedrock/latest/userguide/agents-how.html</x:v>
      </x:c>
      <x:c r="D14" s="16" t="str">
        <x:v>Agent orchestration, actions, knowledge bases and prompt customization</x:v>
      </x:c>
      <x:c r="E14" s="42" t="str">
        <x:v>2026-07-19</x:v>
      </x:c>
      <x:c r="F14" s="16" t="str">
        <x:v>Confirm models and regional availability</x:v>
      </x:c>
    </x:row>
    <x:row r="15">
      <x:c r="A15" s="16" t="str">
        <x:v>SRC-011</x:v>
      </x:c>
      <x:c r="B15" s="16" t="str">
        <x:v>Amazon Bedrock Knowledge Bases</x:v>
      </x:c>
      <x:c r="C15" s="16" t="str">
        <x:v>https://docs.aws.amazon.com/bedrock/latest/userguide/knowledge-base.html</x:v>
      </x:c>
      <x:c r="D15" s="16" t="str">
        <x:v>Managed RAG over enterprise data</x:v>
      </x:c>
      <x:c r="E15" s="42" t="str">
        <x:v>2026-07-19</x:v>
      </x:c>
      <x:c r="F15" s="16" t="str">
        <x:v>Validate vector store, ingestion and security architecture</x:v>
      </x:c>
    </x:row>
    <x:row r="16">
      <x:c r="A16" s="16" t="str">
        <x:v>SRC-012</x:v>
      </x:c>
      <x:c r="B16" s="16" t="str">
        <x:v>Amazon Bedrock Guardrails</x:v>
      </x:c>
      <x:c r="C16" s="16" t="str">
        <x:v>https://docs.aws.amazon.com/bedrock/latest/userguide/guardrails.html</x:v>
      </x:c>
      <x:c r="D16" s="16" t="str">
        <x:v>Content, topic, sensitive-information and safety controls</x:v>
      </x:c>
      <x:c r="E16" s="42" t="str">
        <x:v>2026-07-19</x:v>
      </x:c>
      <x:c r="F16" s="16" t="str">
        <x:v>Guardrails complement—not replace—application controls</x:v>
      </x:c>
    </x:row>
    <x:row r="17">
      <x:c r="A17" s="16" t="str">
        <x:v>SRC-013</x:v>
      </x:c>
      <x:c r="B17" s="16" t="str">
        <x:v>Google Vertex AI generative AI</x:v>
      </x:c>
      <x:c r="C17" s="16" t="str">
        <x:v>https://docs.cloud.google.com/vertex-ai/generative-ai/docs</x:v>
      </x:c>
      <x:c r="D17" s="16" t="str">
        <x:v>Models, agents, evaluation, enterprise security and Model Garden</x:v>
      </x:c>
      <x:c r="E17" s="42" t="str">
        <x:v>2026-07-19</x:v>
      </x:c>
      <x:c r="F17" s="16" t="str">
        <x:v>Confirm launch stage, model and region</x:v>
      </x:c>
    </x:row>
    <x:row r="18">
      <x:c r="A18" s="16" t="str">
        <x:v>SRC-014</x:v>
      </x:c>
      <x:c r="B18" s="16" t="str">
        <x:v>Vertex AI Agent Engine</x:v>
      </x:c>
      <x:c r="C18" s="16" t="str">
        <x:v>https://cloud.google.com/vertex-ai/generative-ai/docs/reasoning-engine/overview</x:v>
      </x:c>
      <x:c r="D18" s="16" t="str">
        <x:v>Managed agent runtime, frameworks, observability and evaluation</x:v>
      </x:c>
      <x:c r="E18" s="42" t="str">
        <x:v>2026-07-19</x:v>
      </x:c>
      <x:c r="F18" s="16" t="str">
        <x:v>Validate security-control support for selected configuration</x:v>
      </x:c>
    </x:row>
    <x:row r="19">
      <x:c r="A19" s="16" t="str">
        <x:v>SRC-015</x:v>
      </x:c>
      <x:c r="B19" s="16" t="str">
        <x:v>IBM watsonx Orchestrate</x:v>
      </x:c>
      <x:c r="C19" s="16" t="str">
        <x:v>https://www.ibm.com/products/watsonx-orchestrate/multi-agent-orchestration</x:v>
      </x:c>
      <x:c r="D19" s="16" t="str">
        <x:v>Multi-agent orchestration, model routing, monitoring and control plane</x:v>
      </x:c>
      <x:c r="E19" s="42" t="str">
        <x:v>2026-07-19</x:v>
      </x:c>
      <x:c r="F19" s="16" t="str">
        <x:v>Confirm edition and feature availability</x:v>
      </x:c>
    </x:row>
    <x:row r="20">
      <x:c r="A20" s="16" t="str">
        <x:v>SRC-016</x:v>
      </x:c>
      <x:c r="B20" s="16" t="str">
        <x:v>IBM agent catalogue</x:v>
      </x:c>
      <x:c r="C20" s="16" t="str">
        <x:v>https://www.ibm.com/products/watsonx-orchestrate/agent-catalog</x:v>
      </x:c>
      <x:c r="D20" s="16" t="str">
        <x:v>Governed agent/tool catalogue, RBAC and lifecycle management</x:v>
      </x:c>
      <x:c r="E20" s="42" t="str">
        <x:v>2026-07-19</x:v>
      </x:c>
      <x:c r="F20" s="16" t="str">
        <x:v>Validate integrations and partner agents</x:v>
      </x:c>
    </x:row>
    <x:row r="21">
      <x:c r="A21" s="17" t="str">
        <x:v>SRC-017</x:v>
      </x:c>
      <x:c r="B21" s="17" t="str">
        <x:v>OpenAI API platform docs</x:v>
      </x:c>
      <x:c r="C21" s="17" t="str">
        <x:v>https://platform.openai.com/docs/</x:v>
      </x:c>
      <x:c r="D21" s="17" t="str">
        <x:v>Models, agents, tools, evaluations and developer platform capabilities</x:v>
      </x:c>
      <x:c r="E21" s="43" t="str">
        <x:v>2026-07-19</x:v>
      </x:c>
      <x:c r="F21" s="17" t="str">
        <x:v>Client must design surrounding enterprise controls and integrations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3561c0d0ab44593"/>
  </x:tableParts>
</x:worksheet>
</file>