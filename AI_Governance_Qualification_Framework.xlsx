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 &amp; Instructions" sheetId="1" state="visible" r:id="rId3"/>
    <sheet name="AI Qualification Checklist" sheetId="2" state="visible" r:id="rId4"/>
    <sheet name="AI Governance Checklist" sheetId="3" state="visible" r:id="rId5"/>
    <sheet name="Model Change Management" sheetId="4" state="visible" r:id="rId6"/>
    <sheet name="Portfolio Capacity Register" sheetId="5" state="visible" r:id="rId7"/>
    <sheet name="Review Board Decision Log" sheetId="6" state="visible" r:id="rId8"/>
  </sheets>
  <definedNames>
    <definedName function="false" hidden="true" localSheetId="2" name="_xlnm._FilterDatabase" vbProcedure="false">'AI Governance Checklist'!$A$3:$J$43</definedName>
    <definedName function="false" hidden="true" localSheetId="1" name="_xlnm._FilterDatabase" vbProcedure="false">'AI Qualification Checklist'!$A$3:$I$15</definedName>
    <definedName function="false" hidden="true" localSheetId="4" name="_xlnm._FilterDatabase" vbProcedure="false">'Portfolio Capacity Register'!$A$4:$N$10</definedName>
    <definedName function="false" hidden="true" localSheetId="5" name="_xlnm._FilterDatabase" vbProcedure="false">'Review Board Decision Log'!$A$3:$M$13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<sst xmlns="http://schemas.openxmlformats.org/spreadsheetml/2006/main" count="559" uniqueCount="429">
  <si>
    <t xml:space="preserve">Architecting Intelligence — AI Governance &amp; Qualification Framework</t>
  </si>
  <si>
    <t xml:space="preserve">Enterprise-grade governance toolkit for AI use case qualification, pre-deployment governance, model change management, and portfolio capacity planning.</t>
  </si>
  <si>
    <t xml:space="preserve">  WORKBOOK CONTENTS</t>
  </si>
  <si>
    <t xml:space="preserve">#</t>
  </si>
  <si>
    <t xml:space="preserve">Sheet Name</t>
  </si>
  <si>
    <t xml:space="preserve">Purpose</t>
  </si>
  <si>
    <t xml:space="preserve">When to Use</t>
  </si>
  <si>
    <t xml:space="preserve">Owner</t>
  </si>
  <si>
    <t xml:space="preserve">Review Frequency</t>
  </si>
  <si>
    <t xml:space="preserve">1</t>
  </si>
  <si>
    <t xml:space="preserve">AI Qualification Checklist</t>
  </si>
  <si>
    <t xml:space="preserve">8-question gate to determine if AI is the right tool. Forces formula/RPA evaluation before AI is approved.</t>
  </si>
  <si>
    <t xml:space="preserve">Before any AI implementation is proposed to the Review Board</t>
  </si>
  <si>
    <t xml:space="preserve">Enterprise Architect</t>
  </si>
  <si>
    <t xml:space="preserve">Per project request</t>
  </si>
  <si>
    <t xml:space="preserve">2</t>
  </si>
  <si>
    <t xml:space="preserve">AI Governance Checklist</t>
  </si>
  <si>
    <t xml:space="preserve">32 pre-deployment governance controls across 7 categories. Blocker/Required/Recommended classification.</t>
  </si>
  <si>
    <t xml:space="preserve">After qualification approved. Before architecture build commences.</t>
  </si>
  <si>
    <t xml:space="preserve">AI CoE Lead + Risk Owner</t>
  </si>
  <si>
    <t xml:space="preserve">Per deployment</t>
  </si>
  <si>
    <t xml:space="preserve">3</t>
  </si>
  <si>
    <t xml:space="preserve">Model Change Management</t>
  </si>
  <si>
    <t xml:space="preserve">Change classification (Class 1–4), test scope, tier definitions, and timeline gates for every model version change.</t>
  </si>
  <si>
    <t xml:space="preserve">Every time a model version change is proposed or notified by vendor.</t>
  </si>
  <si>
    <t xml:space="preserve">Risk Owner + QA Lead</t>
  </si>
  <si>
    <t xml:space="preserve">Per model change</t>
  </si>
  <si>
    <t xml:space="preserve">4</t>
  </si>
  <si>
    <t xml:space="preserve">Portfolio Capacity Register</t>
  </si>
  <si>
    <t xml:space="preserve">Live register of all AI deployments with bandwidth scoring. Tracks utilisation vs red line (70%).</t>
  </si>
  <si>
    <t xml:space="preserve">Reviewed weekly by AI CoE. Checked before any new deployment is approved.</t>
  </si>
  <si>
    <t xml:space="preserve">AI CoE Lead</t>
  </si>
  <si>
    <t xml:space="preserve">Weekly</t>
  </si>
  <si>
    <t xml:space="preserve">5</t>
  </si>
  <si>
    <t xml:space="preserve">Review Board Decision Log</t>
  </si>
  <si>
    <t xml:space="preserve">Permanent audit trail of all AI implementation requests and board decisions.</t>
  </si>
  <si>
    <t xml:space="preserve">Updated after every Review Board session. 7-year retention minimum.</t>
  </si>
  <si>
    <t xml:space="preserve">Board Chair / AI CoE</t>
  </si>
  <si>
    <t xml:space="preserve">Per board decision</t>
  </si>
  <si>
    <t xml:space="preserve">  CORE GOVERNANCE PRINCIPLES</t>
  </si>
  <si>
    <t xml:space="preserve">P1</t>
  </si>
  <si>
    <t xml:space="preserve">Implement AI when required — not because it is easy.</t>
  </si>
  <si>
    <t xml:space="preserve">The default answer to any AI implementation request is no. The project team proves AI is necessary — not the governance team proving it isn't.</t>
  </si>
  <si>
    <t xml:space="preserve">P2</t>
  </si>
  <si>
    <t xml:space="preserve">Formula first. RPA second. AI third.</t>
  </si>
  <si>
    <t xml:space="preserve">If a deterministic formula or rule set solves the problem for 95%+ of cases, AI is not required. Governance overhead of AI must be justified by genuine capability need.</t>
  </si>
  <si>
    <t xml:space="preserve">P3</t>
  </si>
  <si>
    <t xml:space="preserve">Every test case is permanent.</t>
  </si>
  <si>
    <t xml:space="preserve">The test library is append-only. Edge cases and low-frequency scenarios are never removed. A passing test case is proof the control works — not a candidate for deletion.</t>
  </si>
  <si>
    <t xml:space="preserve">P4</t>
  </si>
  <si>
    <t xml:space="preserve">Go-live governance is not production governance.</t>
  </si>
  <si>
    <t xml:space="preserve">An agent that passed UAT is an agent that passed UAT. Production governance requires continuous monitoring, model change management, and quarterly review — indefinitely.</t>
  </si>
  <si>
    <t xml:space="preserve">P5</t>
  </si>
  <si>
    <t xml:space="preserve">The vendor's 'minor' is your governance risk.</t>
  </si>
  <si>
    <t xml:space="preserve">Any model version change regardless of vendor classification triggers full re-validation. You cannot verify what changed internally. Your test library is the only ground truth you control.</t>
  </si>
  <si>
    <t xml:space="preserve">P6</t>
  </si>
  <si>
    <t xml:space="preserve">Bandwidth is a shared constraint, not a project resource.</t>
  </si>
  <si>
    <t xml:space="preserve">Governance team capacity for model changes, monitoring, and incident response is finite and managed at portfolio level. No project owns governance capacity — the portfolio does.</t>
  </si>
  <si>
    <t xml:space="preserve">AI Use Case Qualification Checklist — Enterprise Review Board</t>
  </si>
  <si>
    <t xml:space="preserve">Complete this checklist before any AI implementation is approved. Default board position: NOT APPROVED. Project team must prove AI is required.</t>
  </si>
  <si>
    <t xml:space="preserve">Gate Question</t>
  </si>
  <si>
    <t xml:space="preserve">Category</t>
  </si>
  <si>
    <t xml:space="preserve">Answer
(Yes/No/N/A)</t>
  </si>
  <si>
    <t xml:space="preserve">If YES</t>
  </si>
  <si>
    <t xml:space="preserve">If NO</t>
  </si>
  <si>
    <t xml:space="preserve">Evidence Required</t>
  </si>
  <si>
    <t xml:space="preserve">Finding
(Blocker/Required/Rec)</t>
  </si>
  <si>
    <t xml:space="preserve">Reviewer Notes</t>
  </si>
  <si>
    <t xml:space="preserve">Q1</t>
  </si>
  <si>
    <t xml:space="preserve">Can the output be produced by a deterministic formula or rule set for the majority of cases?</t>
  </si>
  <si>
    <t xml:space="preserve">Use Case Fit</t>
  </si>
  <si>
    <t xml:space="preserve">Implement formula/rule engine. Do NOT scope AI. Handle exceptions with human review.</t>
  </si>
  <si>
    <t xml:space="preserve">Proceed to Q2.</t>
  </si>
  <si>
    <t xml:space="preserve">Formula evaluation document signed by SME</t>
  </si>
  <si>
    <t xml:space="preserve">Blocker</t>
  </si>
  <si>
    <t xml:space="preserve">Q2</t>
  </si>
  <si>
    <t xml:space="preserve">Is the input data structured and the process steps fully mappable end-to-end?</t>
  </si>
  <si>
    <t xml:space="preserve">Implement RPA or workflow automation. AI adds governance cost with no capability advantage.</t>
  </si>
  <si>
    <t xml:space="preserve">Proceed to Q3.</t>
  </si>
  <si>
    <t xml:space="preserve">Process map / data structure assessment</t>
  </si>
  <si>
    <t xml:space="preserve">Q3</t>
  </si>
  <si>
    <t xml:space="preserve">Does the problem genuinely require cognitive interpretation — unstructured data, variable context, multi-factor judgement?</t>
  </si>
  <si>
    <t xml:space="preserve">AI may be appropriate. Continue qualification.</t>
  </si>
  <si>
    <t xml:space="preserve">Return to Q1 or Q2. Problem has been miscategorised.</t>
  </si>
  <si>
    <t xml:space="preserve">Use case description with examples of ambiguous inputs</t>
  </si>
  <si>
    <t xml:space="preserve">Q4</t>
  </si>
  <si>
    <t xml:space="preserve">Has a non-AI alternative been formally evaluated and documented as insufficient?</t>
  </si>
  <si>
    <t xml:space="preserve">Alternatives</t>
  </si>
  <si>
    <t xml:space="preserve">Document why alternative was rejected. This is the audit trail.</t>
  </si>
  <si>
    <t xml:space="preserve">Return to Q1. Evaluation not completed. AI not approved on convenience.</t>
  </si>
  <si>
    <t xml:space="preserve">Alternatives evaluation report with sign-off</t>
  </si>
  <si>
    <t xml:space="preserve">Q5</t>
  </si>
  <si>
    <t xml:space="preserve">Is the organisation's current AI governance maturity sufficient to manage this deployment safely?</t>
  </si>
  <si>
    <t xml:space="preserve">Governance Readiness</t>
  </si>
  <si>
    <t xml:space="preserve">Document evidence. Governance team confirms bandwidth available.</t>
  </si>
  <si>
    <t xml:space="preserve">Queue. Do not deploy until maturity gap is closed.</t>
  </si>
  <si>
    <t xml:space="preserve">Governance maturity assessment, bandwidth score</t>
  </si>
  <si>
    <t xml:space="preserve">Q6</t>
  </si>
  <si>
    <t xml:space="preserve">Is this a high-risk domain (regulated decisions, financial transactions, patient impact, legal exposure)?</t>
  </si>
  <si>
    <t xml:space="preserve">Risk Classification</t>
  </si>
  <si>
    <t xml:space="preserve">AI maturity requirement doubles. Require demonstrated production performance from comparable deployment.</t>
  </si>
  <si>
    <t xml:space="preserve">Standard qualification continues.</t>
  </si>
  <si>
    <t xml:space="preserve">Risk classification signed by risk function (not project team)</t>
  </si>
  <si>
    <t xml:space="preserve">Q7</t>
  </si>
  <si>
    <t xml:space="preserve">Can the AI decision be explained to a regulator, auditor, or affected individual in plain language?</t>
  </si>
  <si>
    <t xml:space="preserve">Explainability</t>
  </si>
  <si>
    <t xml:space="preserve">Document the explainability mechanism. Must exist at deployment — not promised for later.</t>
  </si>
  <si>
    <t xml:space="preserve">Blocked. Non-explainable AI in regulated context is non-compliant before go-live.</t>
  </si>
  <si>
    <t xml:space="preserve">Explainability design document</t>
  </si>
  <si>
    <t xml:space="preserve">Q8</t>
  </si>
  <si>
    <t xml:space="preserve">Does portfolio bandwidth capacity exist to govern, monitor, and respond to model changes?</t>
  </si>
  <si>
    <t xml:space="preserve">Portfolio Capacity</t>
  </si>
  <si>
    <t xml:space="preserve">Governance team confirms in writing. Bandwidth score added to register.</t>
  </si>
  <si>
    <t xml:space="preserve">Queue. Portfolio at capacity. Not a negotiation.</t>
  </si>
  <si>
    <t xml:space="preserve">Portfolio bandwidth score, governance team allocation confirmation</t>
  </si>
  <si>
    <t xml:space="preserve">Q9</t>
  </si>
  <si>
    <t xml:space="preserve">Is the agent's scope limited to genuinely cognitive tasks only (no formula-calculable sub-tasks included)?</t>
  </si>
  <si>
    <t xml:space="preserve">Scope Control</t>
  </si>
  <si>
    <t xml:space="preserve">Document scope boundaries. Rule-based pre-filters defined.</t>
  </si>
  <si>
    <t xml:space="preserve">Reduce agent scope. Remove deterministic sub-tasks from AI scope.</t>
  </si>
  <si>
    <t xml:space="preserve">Agent scope definition document with pre-filter specification</t>
  </si>
  <si>
    <t xml:space="preserve">Required</t>
  </si>
  <si>
    <t xml:space="preserve">Q10</t>
  </si>
  <si>
    <t xml:space="preserve">Has the vendor's historical model release cadence been documented as a project input?</t>
  </si>
  <si>
    <t xml:space="preserve">Vendor Risk</t>
  </si>
  <si>
    <t xml:space="preserve">Release cadence factored into governance cost and bandwidth scoring.</t>
  </si>
  <si>
    <t xml:space="preserve">Vendor assessment incomplete. Do not proceed to architecture approval.</t>
  </si>
  <si>
    <t xml:space="preserve">Vendor release history, upgrade notification SLA in contract</t>
  </si>
  <si>
    <t xml:space="preserve">Q11</t>
  </si>
  <si>
    <t xml:space="preserve">Is the foundation model version pinnable and independently rollback-capable within 30 minutes?</t>
  </si>
  <si>
    <t xml:space="preserve">Model Sovereignty</t>
  </si>
  <si>
    <t xml:space="preserve">Version pinning confirmed at API gateway level. Rollback tested.</t>
  </si>
  <si>
    <t xml:space="preserve">Blocked. Model sovereignty is non-negotiable for production deployment.</t>
  </si>
  <si>
    <t xml:space="preserve">Version pin configuration, rollback test record</t>
  </si>
  <si>
    <t xml:space="preserve">Q12</t>
  </si>
  <si>
    <t xml:space="preserve">Has the full governance cost been included in the business case (test library, monitoring, change cycles)?</t>
  </si>
  <si>
    <t xml:space="preserve">Business Case</t>
  </si>
  <si>
    <t xml:space="preserve">Business case approved with full TCO including governance overhead.</t>
  </si>
  <si>
    <t xml:space="preserve">Business case incomplete. Return to project sponsor.</t>
  </si>
  <si>
    <t xml:space="preserve">Business case document with governance cost line items</t>
  </si>
  <si>
    <t xml:space="preserve">OVERALL QUALIFICATION RESULT</t>
  </si>
  <si>
    <t xml:space="preserve">AI Governance Checklist — Pre-Deployment &amp; Production Controls</t>
  </si>
  <si>
    <t xml:space="preserve">All Blocker findings must be resolved before deployment. Required findings must be remediated within 30 days. Recommended findings logged in AI System Register.</t>
  </si>
  <si>
    <t xml:space="preserve">Control</t>
  </si>
  <si>
    <t xml:space="preserve">Classification</t>
  </si>
  <si>
    <t xml:space="preserve">Status
(Pass/Fail/Pending)</t>
  </si>
  <si>
    <t xml:space="preserve">Evidence Location / Reference</t>
  </si>
  <si>
    <t xml:space="preserve">Review Date</t>
  </si>
  <si>
    <t xml:space="preserve">Notes</t>
  </si>
  <si>
    <t xml:space="preserve">  MODEL SOVEREIGNTY</t>
  </si>
  <si>
    <t xml:space="preserve">G-01</t>
  </si>
  <si>
    <t xml:space="preserve">Foundation model version is pinned to a specific named version — no floating alias ('latest')</t>
  </si>
  <si>
    <t xml:space="preserve">Version pin confirmed at API gateway level, not documentation only</t>
  </si>
  <si>
    <t xml:space="preserve">G-02</t>
  </si>
  <si>
    <t xml:space="preserve">Vendor provides contractual minimum 30-day advance notice of model version deprecation or forced upgrade</t>
  </si>
  <si>
    <t xml:space="preserve">Executed contract clause — reviewed by legal, not filed</t>
  </si>
  <si>
    <t xml:space="preserve">G-03</t>
  </si>
  <si>
    <t xml:space="preserve">Rollback to previous model version achievable within 30 minutes without a deployment cycle — tested</t>
  </si>
  <si>
    <t xml:space="preserve">Rollback test record with timestamp and approver</t>
  </si>
  <si>
    <t xml:space="preserve">G-04</t>
  </si>
  <si>
    <t xml:space="preserve">For Tier 1 agents: open-weights model on controlled infrastructure evaluated and decision documented</t>
  </si>
  <si>
    <t xml:space="preserve">Architecture decision record with rationale</t>
  </si>
  <si>
    <t xml:space="preserve">  CHANGE MANAGEMENT</t>
  </si>
  <si>
    <t xml:space="preserve">G-05</t>
  </si>
  <si>
    <t xml:space="preserve">Any model version change classified as Class 1–4 before validation scope is determined</t>
  </si>
  <si>
    <t xml:space="preserve">Change Management</t>
  </si>
  <si>
    <t xml:space="preserve">Change classification procedure and sign-off authority matrix</t>
  </si>
  <si>
    <t xml:space="preserve">G-06</t>
  </si>
  <si>
    <t xml:space="preserve">Full regression test library exists — covers 100% of transaction/domain types including edge cases</t>
  </si>
  <si>
    <t xml:space="preserve">Test library register with domain coverage % report</t>
  </si>
  <si>
    <t xml:space="preserve">G-07</t>
  </si>
  <si>
    <t xml:space="preserve">Class 1 and Class 2 changes require 100% full library re-validation — no sample testing permitted</t>
  </si>
  <si>
    <t xml:space="preserve">Validation policy document signed by risk owner</t>
  </si>
  <si>
    <t xml:space="preserve">G-08</t>
  </si>
  <si>
    <t xml:space="preserve">72-hour parallel shadow run completed before any model version enters production</t>
  </si>
  <si>
    <t xml:space="preserve">Parallel run report with discrepancy analysis</t>
  </si>
  <si>
    <t xml:space="preserve">G-09</t>
  </si>
  <si>
    <t xml:space="preserve">Model version change requires risk owner sign-off — not technology team alone</t>
  </si>
  <si>
    <t xml:space="preserve">Sign-off record in AI system register with date</t>
  </si>
  <si>
    <t xml:space="preserve">G-10</t>
  </si>
  <si>
    <t xml:space="preserve">90-day stabilisation period enforced — no model upgrade within 90 days of initial go-live</t>
  </si>
  <si>
    <t xml:space="preserve">Stabilisation period logged in deployment timeline</t>
  </si>
  <si>
    <t xml:space="preserve">  MONITORING</t>
  </si>
  <si>
    <t xml:space="preserve">G-11</t>
  </si>
  <si>
    <t xml:space="preserve">Canary monitoring active — known transactions with predefined outputs run every 2–4 hours in production</t>
  </si>
  <si>
    <t xml:space="preserve">Monitoring</t>
  </si>
  <si>
    <t xml:space="preserve">Canary suite configuration, alert threshold definition, test log sample</t>
  </si>
  <si>
    <t xml:space="preserve">G-12</t>
  </si>
  <si>
    <t xml:space="preserve">Decision distribution baseline captured at go-live — drift threshold defined per domain (≤3% before alert)</t>
  </si>
  <si>
    <t xml:space="preserve">Baseline distribution report, threshold configuration</t>
  </si>
  <si>
    <t xml:space="preserve">G-13</t>
  </si>
  <si>
    <t xml:space="preserve">Exception rate trending monitored — unusual spike in any domain triggers review within 4 hours</t>
  </si>
  <si>
    <t xml:space="preserve">Monitoring dashboard configuration, alert runbook</t>
  </si>
  <si>
    <t xml:space="preserve">G-14</t>
  </si>
  <si>
    <t xml:space="preserve">Monthly outcome reconciliation — agent decisions compared against downstream business outcomes</t>
  </si>
  <si>
    <t xml:space="preserve">Recommended</t>
  </si>
  <si>
    <t xml:space="preserve">Reconciliation procedure and sample report</t>
  </si>
  <si>
    <t xml:space="preserve">  BLAST RADIUS</t>
  </si>
  <si>
    <t xml:space="preserve">G-15</t>
  </si>
  <si>
    <t xml:space="preserve">Hard transaction caps enforced in integration layer code — not in model prompt. Reviewed directly.</t>
  </si>
  <si>
    <t xml:space="preserve">Blast Radius</t>
  </si>
  <si>
    <t xml:space="preserve">Integration layer code review, threshold breach test record</t>
  </si>
  <si>
    <t xml:space="preserve">G-16</t>
  </si>
  <si>
    <t xml:space="preserve">Automatic suspension threshold defined — agent halts and escalates if decision pattern deviates beyond threshold</t>
  </si>
  <si>
    <t xml:space="preserve">Suspension logic code review, threshold test evidence</t>
  </si>
  <si>
    <t xml:space="preserve">G-17</t>
  </si>
  <si>
    <t xml:space="preserve">Kill switch documented, tested, and executable in under 5 minutes without deployment cycle</t>
  </si>
  <si>
    <t xml:space="preserve">Kill switch procedure, test record, authorised activator list</t>
  </si>
  <si>
    <t xml:space="preserve">G-18</t>
  </si>
  <si>
    <t xml:space="preserve">Segregation of duties enforced — agent initiating action cannot be same agent approving it</t>
  </si>
  <si>
    <t xml:space="preserve">Architecture diagram showing segregation, code review</t>
  </si>
  <si>
    <t xml:space="preserve">  DATA SECURITY</t>
  </si>
  <si>
    <t xml:space="preserve">G-19</t>
  </si>
  <si>
    <t xml:space="preserve">Zero-training clause in vendor contract — covers sub-processors, embeddings, and metadata explicitly</t>
  </si>
  <si>
    <t xml:space="preserve">Data Security</t>
  </si>
  <si>
    <t xml:space="preserve">Executed MSA with clause highlighted, legal review sign-off</t>
  </si>
  <si>
    <t xml:space="preserve">G-20</t>
  </si>
  <si>
    <t xml:space="preserve">All data processing geographically restricted to approved jurisdictions — including failover paths</t>
  </si>
  <si>
    <t xml:space="preserve">Cloud region config, failover endpoint mapping, legal sign-off</t>
  </si>
  <si>
    <t xml:space="preserve">G-21</t>
  </si>
  <si>
    <t xml:space="preserve">RBAC enforced at system access, retrieval scope, and output scope — verified by functional testing</t>
  </si>
  <si>
    <t xml:space="preserve">RBAC matrix, least privilege test evidence</t>
  </si>
  <si>
    <t xml:space="preserve">G-22</t>
  </si>
  <si>
    <t xml:space="preserve">PII sanitisation validated against actual production data types — false negative rate measured</t>
  </si>
  <si>
    <t xml:space="preserve">Masking logic documentation, production data test results</t>
  </si>
  <si>
    <t xml:space="preserve">  ACCOUNTABILITY</t>
  </si>
  <si>
    <t xml:space="preserve">G-23</t>
  </si>
  <si>
    <t xml:space="preserve">Single named risk owner assigned — not a team. Accountable for agent behaviour in production.</t>
  </si>
  <si>
    <t xml:space="preserve">Accountability</t>
  </si>
  <si>
    <t xml:space="preserve">Named individual in AI system register with formal acceptance</t>
  </si>
  <si>
    <t xml:space="preserve">G-24</t>
  </si>
  <si>
    <t xml:space="preserve">AI system register entry complete — model version, risk classification, validation date, open findings</t>
  </si>
  <si>
    <t xml:space="preserve">AI system register record with all 9 required fields populated</t>
  </si>
  <si>
    <t xml:space="preserve">G-25</t>
  </si>
  <si>
    <t xml:space="preserve">AI-specific incident response procedure documented and exercised in tabletop scenario</t>
  </si>
  <si>
    <t xml:space="preserve">Incident response procedure, tabletop exercise record</t>
  </si>
  <si>
    <t xml:space="preserve">G-26</t>
  </si>
  <si>
    <t xml:space="preserve">Quarterly governance review scheduled — risk owner and AI CoE. Not optional for Tier 1 agents.</t>
  </si>
  <si>
    <t xml:space="preserve">Quarterly review calendar entry, previous review record</t>
  </si>
  <si>
    <t xml:space="preserve">  SCOPE CONTROL</t>
  </si>
  <si>
    <t xml:space="preserve">G-27</t>
  </si>
  <si>
    <t xml:space="preserve">Agent scope limited to cognitive tasks only — all deterministic sub-tasks removed to rule engine / formula</t>
  </si>
  <si>
    <t xml:space="preserve">Agent scope definition document, pre-filter specification</t>
  </si>
  <si>
    <t xml:space="preserve">G-28</t>
  </si>
  <si>
    <t xml:space="preserve">AI qualification checklist completed and approved before architecture build commenced</t>
  </si>
  <si>
    <t xml:space="preserve">Signed qualification checklist with Review Board sign-off</t>
  </si>
  <si>
    <t xml:space="preserve">G-29</t>
  </si>
  <si>
    <t xml:space="preserve">Governance cost included in approved business case — test library, monitoring, change cycles, rollback</t>
  </si>
  <si>
    <t xml:space="preserve">Business case document with governance cost line items approved</t>
  </si>
  <si>
    <t xml:space="preserve">  PORTFOLIO CAPACITY</t>
  </si>
  <si>
    <t xml:space="preserve">G-30</t>
  </si>
  <si>
    <t xml:space="preserve">Portfolio bandwidth score calculated and current utilisation below 70% red line</t>
  </si>
  <si>
    <t xml:space="preserve">Portfolio dashboard screenshot at time of approval</t>
  </si>
  <si>
    <t xml:space="preserve">G-31</t>
  </si>
  <si>
    <t xml:space="preserve">Go-live date staggered minimum 30 days from any other Tier 1 agent go-live</t>
  </si>
  <si>
    <t xml:space="preserve">Portfolio deployment calendar showing stagger</t>
  </si>
  <si>
    <t xml:space="preserve">G-32</t>
  </si>
  <si>
    <t xml:space="preserve">20% governance bandwidth buffer maintained — not allocated to this or any other project</t>
  </si>
  <si>
    <t xml:space="preserve">Bandwidth allocation confirmation from AI CoE lead</t>
  </si>
  <si>
    <t xml:space="preserve">OVERALL GOVERNANCE STATUS</t>
  </si>
  <si>
    <t xml:space="preserve">Model Change Management Grid — Classification, Timeline &amp; Test Validation</t>
  </si>
  <si>
    <t xml:space="preserve">Every model version change must be classified before validation scope is determined. Zero regression failures permitted. Test library is append-only — no cases are ever deleted.</t>
  </si>
  <si>
    <t xml:space="preserve">Change
Class</t>
  </si>
  <si>
    <t xml:space="preserve">Description</t>
  </si>
  <si>
    <t xml:space="preserve">Example Triggers</t>
  </si>
  <si>
    <t xml:space="preserve">Test Scope
Required</t>
  </si>
  <si>
    <t xml:space="preserve">Tier A
(Critical Path)</t>
  </si>
  <si>
    <t xml:space="preserve">Tier B
(Domain Coverage)</t>
  </si>
  <si>
    <t xml:space="preserve">Tier C
(Edge Cases)</t>
  </si>
  <si>
    <t xml:space="preserve">Tier D
(Regression)</t>
  </si>
  <si>
    <t xml:space="preserve">Parallel
Run</t>
  </si>
  <si>
    <t xml:space="preserve">Min Timeline
(Bus. Days)</t>
  </si>
  <si>
    <t xml:space="preserve">Risk Owner
Sign-off</t>
  </si>
  <si>
    <t xml:space="preserve">Class 1
Major</t>
  </si>
  <si>
    <t xml:space="preserve">Foundation model replaced — new model family or provider switch</t>
  </si>
  <si>
    <t xml:space="preserve">GPT-4 → GPT-5
Claude 3 → Claude 4
Any provider switch</t>
  </si>
  <si>
    <t xml:space="preserve">100%
Full Library</t>
  </si>
  <si>
    <t xml:space="preserve">✓ Mandatory</t>
  </si>
  <si>
    <t xml:space="preserve">72 hrs</t>
  </si>
  <si>
    <t xml:space="preserve">15</t>
  </si>
  <si>
    <t xml:space="preserve">CRO + Risk Owner</t>
  </si>
  <si>
    <t xml:space="preserve">Class 2
Minor</t>
  </si>
  <si>
    <t xml:space="preserve">Version increment on same foundation model</t>
  </si>
  <si>
    <t xml:space="preserve">gpt-4o → gpt-4o-2025-11
Claude 3.5 → Claude 3.6
Any patch version bump</t>
  </si>
  <si>
    <t xml:space="preserve">7</t>
  </si>
  <si>
    <t xml:space="preserve">Risk Owner</t>
  </si>
  <si>
    <t xml:space="preserve">Class 3
Patch</t>
  </si>
  <si>
    <t xml:space="preserve">Configuration or parameter change on same model version</t>
  </si>
  <si>
    <t xml:space="preserve">Temperature change
System prompt update
Context window change
top-p / top-k change</t>
  </si>
  <si>
    <t xml:space="preserve">Affected domains
+ full regression</t>
  </si>
  <si>
    <t xml:space="preserve">Affected
domains only</t>
  </si>
  <si>
    <t xml:space="preserve">24 hrs</t>
  </si>
  <si>
    <t xml:space="preserve">Class 4
Hotfix</t>
  </si>
  <si>
    <t xml:space="preserve">Emergency rollback to previous pinned version due to live incident</t>
  </si>
  <si>
    <t xml:space="preserve">Production incident
requires immediate
reversion to v(n-1)</t>
  </si>
  <si>
    <t xml:space="preserve">Canary suite
+ critical path</t>
  </si>
  <si>
    <t xml:space="preserve">✗ Not required</t>
  </si>
  <si>
    <t xml:space="preserve">Tier D only</t>
  </si>
  <si>
    <t xml:space="preserve">4 hrs</t>
  </si>
  <si>
    <t xml:space="preserve">0.5</t>
  </si>
  <si>
    <t xml:space="preserve">Risk Owner
(post-facto CRO)</t>
  </si>
  <si>
    <t xml:space="preserve">  TEST LIBRARY — TIER DEFINITIONS AND MINIMUM REQUIREMENTS</t>
  </si>
  <si>
    <t xml:space="preserve">Tier</t>
  </si>
  <si>
    <t xml:space="preserve">Name</t>
  </si>
  <si>
    <t xml:space="preserve">Min Cases
Per Domain</t>
  </si>
  <si>
    <t xml:space="preserve">Run Frequency</t>
  </si>
  <si>
    <t xml:space="preserve">Never
Removed?</t>
  </si>
  <si>
    <t xml:space="preserve">Who Creates</t>
  </si>
  <si>
    <t xml:space="preserve">Failure
Tolerance</t>
  </si>
  <si>
    <t xml:space="preserve">Scope
(Change Class)</t>
  </si>
  <si>
    <t xml:space="preserve">Automated?</t>
  </si>
  <si>
    <t xml:space="preserve">Tier A</t>
  </si>
  <si>
    <t xml:space="preserve">Critical Path</t>
  </si>
  <si>
    <t xml:space="preserve">20% of transactions representing 80% of business risk or volume</t>
  </si>
  <si>
    <t xml:space="preserve">10</t>
  </si>
  <si>
    <t xml:space="preserve">Every test cycle
(all change classes)</t>
  </si>
  <si>
    <t xml:space="preserve">Yes</t>
  </si>
  <si>
    <t xml:space="preserve">QA lead + domain SME</t>
  </si>
  <si>
    <t xml:space="preserve">Zero</t>
  </si>
  <si>
    <t xml:space="preserve">All classes</t>
  </si>
  <si>
    <t xml:space="preserve">Yes — results in 30 min</t>
  </si>
  <si>
    <t xml:space="preserve">Tier B</t>
  </si>
  <si>
    <t xml:space="preserve">Domain Coverage</t>
  </si>
  <si>
    <t xml:space="preserve">Every distinct transaction category mapped to business domain taxonomy. Every category covered regardless of frequency.</t>
  </si>
  <si>
    <t xml:space="preserve">5 minimum</t>
  </si>
  <si>
    <t xml:space="preserve">Class 1, 2, 3</t>
  </si>
  <si>
    <t xml:space="preserve">Domain SME + QA</t>
  </si>
  <si>
    <t xml:space="preserve">Zero for Blockers</t>
  </si>
  <si>
    <t xml:space="preserve">Tier C</t>
  </si>
  <si>
    <t xml:space="preserve">Edge Cases &amp; Boundaries</t>
  </si>
  <si>
    <t xml:space="preserve">Previously failed transactions, decision boundary cases, rare but legitimate combinations, multi-procedure claims, unusual inputs.</t>
  </si>
  <si>
    <t xml:space="preserve">3 minimum</t>
  </si>
  <si>
    <t xml:space="preserve">Yes — NEVER deleted</t>
  </si>
  <si>
    <t xml:space="preserve">Incident response pipeline
(auto-added within 5 days)</t>
  </si>
  <si>
    <t xml:space="preserve">Tier D</t>
  </si>
  <si>
    <t xml:space="preserve">Adversarial &amp; Regression</t>
  </si>
  <si>
    <t xml:space="preserve">Every historical production incident. Every bug fixed in production. Attempts to manipulate via unusual input formatting.</t>
  </si>
  <si>
    <t xml:space="preserve">1 per incident</t>
  </si>
  <si>
    <t xml:space="preserve">Class 1, 2 + hotfix</t>
  </si>
  <si>
    <t xml:space="preserve">Yes — append only</t>
  </si>
  <si>
    <t xml:space="preserve">Post-incident process
(mandatory within 5 days)</t>
  </si>
  <si>
    <t xml:space="preserve">Zero — single regression failure blocks upgrade</t>
  </si>
  <si>
    <t xml:space="preserve">Class 1, 2, Hotfix</t>
  </si>
  <si>
    <t xml:space="preserve">AI Portfolio Capacity Register — Bandwidth Utilisation &amp; Deployment Queue</t>
  </si>
  <si>
    <t xml:space="preserve">Red line: 70% total utilisation. Optimal ceiling: 50%. 20% buffer must remain unallocated at all times. No new deployments approved above red line without CEO sign-off.</t>
  </si>
  <si>
    <t xml:space="preserve">  BANDWIDTH SCORING GUIDE: Score each component 1–5. Sum = project bandwidth weight. Total portfolio utilisation = SUM(all weights) ÷ max capacity × 100%</t>
  </si>
  <si>
    <t xml:space="preserve">Project /
Agent Name</t>
  </si>
  <si>
    <t xml:space="preserve">Business Domain</t>
  </si>
  <si>
    <t xml:space="preserve">Foundation
Model (Pinned)</t>
  </si>
  <si>
    <t xml:space="preserve">Agent
Tier</t>
  </si>
  <si>
    <t xml:space="preserve">Transaction
Volume Score
(1–5)</t>
  </si>
  <si>
    <t xml:space="preserve">Model Change
Frequency Score
(1–5)</t>
  </si>
  <si>
    <t xml:space="preserve">Regulatory
Exposure Score
(1–5)</t>
  </si>
  <si>
    <t xml:space="preserve">Agent Autonomy
Score
(1–5)</t>
  </si>
  <si>
    <t xml:space="preserve">Test Library
Size Score
(1–5)</t>
  </si>
  <si>
    <t xml:space="preserve">Total
Bandwidth
Weight</t>
  </si>
  <si>
    <t xml:space="preserve">Lifecycle
Stage</t>
  </si>
  <si>
    <t xml:space="preserve">Go-Live
Date</t>
  </si>
  <si>
    <t xml:space="preserve">Next Change
Window</t>
  </si>
  <si>
    <t xml:space="preserve">Dental Claims Agent</t>
  </si>
  <si>
    <t xml:space="preserve">Insurance — BFSI</t>
  </si>
  <si>
    <t xml:space="preserve">claude-3-5-sonnet-20241022</t>
  </si>
  <si>
    <t xml:space="preserve">Active — monitoring</t>
  </si>
  <si>
    <t xml:space="preserve">2024-06-01</t>
  </si>
  <si>
    <t xml:space="preserve">2025-03-15</t>
  </si>
  <si>
    <t xml:space="preserve">J. Smith</t>
  </si>
  <si>
    <t xml:space="preserve">Prior Auth Agent</t>
  </si>
  <si>
    <t xml:space="preserve">Healthcare — BFSI</t>
  </si>
  <si>
    <t xml:space="preserve">gpt-4o-2024-08-06</t>
  </si>
  <si>
    <t xml:space="preserve">Stabilisation</t>
  </si>
  <si>
    <t xml:space="preserve">2024-09-15</t>
  </si>
  <si>
    <t xml:space="preserve">2025-04-01</t>
  </si>
  <si>
    <t xml:space="preserve">M. Patel</t>
  </si>
  <si>
    <t xml:space="preserve">Provider Credentialing</t>
  </si>
  <si>
    <t xml:space="preserve">claude-3-5-haiku-20241022</t>
  </si>
  <si>
    <t xml:space="preserve">Planning</t>
  </si>
  <si>
    <t xml:space="preserve">TBC</t>
  </si>
  <si>
    <t xml:space="preserve">R. Lee</t>
  </si>
  <si>
    <t xml:space="preserve">PORTFOLIO SUMMARY METRICS</t>
  </si>
  <si>
    <t xml:space="preserve">Total active agents</t>
  </si>
  <si>
    <t xml:space="preserve">Total bandwidth consumed</t>
  </si>
  <si>
    <t xml:space="preserve">Max governance capacity (set manually)</t>
  </si>
  <si>
    <t xml:space="preserve">Current utilisation %</t>
  </si>
  <si>
    <t xml:space="preserve">Status vs red line (70%)</t>
  </si>
  <si>
    <t xml:space="preserve">Deployments in planning queue</t>
  </si>
  <si>
    <t xml:space="preserve">AI Review Board — Decision Log &amp; Approval Register</t>
  </si>
  <si>
    <t xml:space="preserve">Permanent audit trail of all AI implementation requests reviewed by the board. Every decision is logged regardless of outcome. Records retained for 7 years minimum.</t>
  </si>
  <si>
    <t xml:space="preserve">Request
Ref</t>
  </si>
  <si>
    <t xml:space="preserve">Project Name</t>
  </si>
  <si>
    <t xml:space="preserve">Requested
Implementation</t>
  </si>
  <si>
    <t xml:space="preserve">Date
Submitted</t>
  </si>
  <si>
    <t xml:space="preserve">Qualification
Checklist Ref</t>
  </si>
  <si>
    <t xml:space="preserve">Board
Decision</t>
  </si>
  <si>
    <t xml:space="preserve">Decision
Rationale</t>
  </si>
  <si>
    <t xml:space="preserve">Conditions /
Remediation Required</t>
  </si>
  <si>
    <t xml:space="preserve">Review
Board Chair</t>
  </si>
  <si>
    <t xml:space="preserve">Decision
Date</t>
  </si>
  <si>
    <t xml:space="preserve">Re-review
Date (if req.)</t>
  </si>
  <si>
    <t xml:space="preserve">AIR-001</t>
  </si>
  <si>
    <t xml:space="preserve">Dental Claims Processing</t>
  </si>
  <si>
    <t xml:space="preserve">Agentic AI — end-to-end claim processing</t>
  </si>
  <si>
    <t xml:space="preserve">2024-03-01</t>
  </si>
  <si>
    <t xml:space="preserve">QC-001</t>
  </si>
  <si>
    <t xml:space="preserve">Approved with Conditions</t>
  </si>
  <si>
    <t xml:space="preserve">Cognitive interpretation of multi-diagnosis claims justified. Agent scope must exclude deterministic frequency limit checks (redirect to rule engine).</t>
  </si>
  <si>
    <t xml:space="preserve">1. Remove D0274 frequency check to rule pre-filter. 2. Full test library built before go-live. 3. 90-day stabilisation enforced.</t>
  </si>
  <si>
    <t xml:space="preserve">R. Ramadasan</t>
  </si>
  <si>
    <t xml:space="preserve">2024-03-11</t>
  </si>
  <si>
    <t xml:space="preserve">2024-09-01</t>
  </si>
  <si>
    <t xml:space="preserve">AIR-002</t>
  </si>
  <si>
    <t xml:space="preserve">Premium Calculation Engine</t>
  </si>
  <si>
    <t xml:space="preserve">AI model for premium calculation</t>
  </si>
  <si>
    <t xml:space="preserve">2024-05-10</t>
  </si>
  <si>
    <t xml:space="preserve">QC-002</t>
  </si>
  <si>
    <t xml:space="preserve">Redirected to Formula/RPA</t>
  </si>
  <si>
    <t xml:space="preserve">Premium calculation is deterministic — base rate × risk factor × age bracket. Formula produces correct result for 100% of cases. AI adds governance cost with zero capability benefit.</t>
  </si>
  <si>
    <t xml:space="preserve">Implement actuarial formula engine. Re-submit if genuinely ambiguous cases identified with evidence.</t>
  </si>
  <si>
    <t xml:space="preserve">2024-05-20</t>
  </si>
  <si>
    <t xml:space="preserve">Classic formula-not-AI case</t>
  </si>
  <si>
    <t xml:space="preserve">AIR-003</t>
  </si>
  <si>
    <t xml:space="preserve">Provider Credentialing Agent</t>
  </si>
  <si>
    <t xml:space="preserve">Agentic AI — credential verification</t>
  </si>
  <si>
    <t xml:space="preserve">2024-07-15</t>
  </si>
  <si>
    <t xml:space="preserve">QC-003</t>
  </si>
  <si>
    <t xml:space="preserve">Queued — Capacity</t>
  </si>
  <si>
    <t xml:space="preserve">Use case qualifies for AI. Portfolio at 68% utilisation — above optimal ceiling. Dental claims agent in stabilisation period. Queue until Q4 capacity review.</t>
  </si>
  <si>
    <t xml:space="preserve">Revisit at Q4 portfolio review. Governance team confirms capacity before architecture approval.</t>
  </si>
  <si>
    <t xml:space="preserve">2024-07-25</t>
  </si>
  <si>
    <t xml:space="preserve">2024-10-01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</si>
</sst>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A4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A4A4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9A6B0A"/>
      <name val="Arial"/>
      <family val="0"/>
      <charset val="1"/>
    </font>
    <font>
      <b val="true"/>
      <sz val="10"/>
      <color rgb="FF1E7A4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A3BA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4A4A4A"/>
      </patternFill>
    </fill>
    <fill>
      <patternFill patternType="solid">
        <fgColor rgb="FFEBF3FB"/>
        <bgColor rgb="FFF0F7FF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F0F7FF"/>
        <bgColor rgb="FFEBF3FB"/>
      </patternFill>
    </fill>
    <fill>
      <patternFill patternType="solid">
        <fgColor rgb="FFFDECEA"/>
        <bgColor rgb="FFFEF5E7"/>
      </patternFill>
    </fill>
    <fill>
      <patternFill patternType="solid">
        <fgColor rgb="FFFEF5E7"/>
        <bgColor rgb="FFF5F5F5"/>
      </patternFill>
    </fill>
    <fill>
      <patternFill patternType="solid">
        <fgColor rgb="FFEAF6EE"/>
        <bgColor rgb="FFEBF3FB"/>
      </patternFill>
    </fill>
    <fill>
      <patternFill patternType="solid">
        <fgColor rgb="FFEDE9FD"/>
        <bgColor rgb="FFEBF3FB"/>
      </patternFill>
    </fill>
    <fill>
      <patternFill patternType="solid">
        <fgColor rgb="FFD6E4F0"/>
        <bgColor rgb="FFEDE9FD"/>
      </patternFill>
    </fill>
    <fill>
      <patternFill patternType="solid">
        <fgColor rgb="FFF5F5F5"/>
        <bgColor rgb="FFF0F7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A3A5C"/>
          <bgColor rgb="FF000000"/>
        </patternFill>
      </fill>
    </dxf>
    <dxf>
      <fill>
        <patternFill patternType="solid">
          <fgColor rgb="FF2E6DA4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EF5E7"/>
          <bgColor rgb="FF000000"/>
        </patternFill>
      </fill>
    </dxf>
    <dxf>
      <fill>
        <patternFill patternType="solid">
          <fgColor rgb="FF9A6B0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6EE"/>
          <bgColor rgb="FF000000"/>
        </patternFill>
      </fill>
    </dxf>
    <dxf>
      <fill>
        <patternFill patternType="solid">
          <fgColor rgb="FF1E7A45"/>
          <bgColor rgb="FF000000"/>
        </patternFill>
      </fill>
    </dxf>
    <dxf>
      <fill>
        <patternFill patternType="solid">
          <fgColor rgb="FFEDE9FD"/>
          <bgColor rgb="FF000000"/>
        </patternFill>
      </fill>
    </dxf>
    <dxf>
      <fill>
        <patternFill patternType="solid">
          <fgColor rgb="FF4A3BA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A"/>
      <rgbColor rgb="FF800080"/>
      <rgbColor rgb="FF1E7A45"/>
      <rgbColor rgb="FFF5F5F5"/>
      <rgbColor rgb="FF808080"/>
      <rgbColor rgb="FF9999FF"/>
      <rgbColor rgb="FF993366"/>
      <rgbColor rgb="FFFEF5E7"/>
      <rgbColor rgb="FFEAF6EE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0"/>
      <rgbColor rgb="FFFDECEA"/>
      <rgbColor rgb="FFF0F7FF"/>
      <rgbColor rgb="FFFF99CC"/>
      <rgbColor rgb="FFCC99FF"/>
      <rgbColor rgb="FFEDE9F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1A1A1A"/>
      <rgbColor rgb="FFC0392B"/>
      <rgbColor rgb="FF993366"/>
      <rgbColor rgb="FF4A3BAA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5" min="4" style="0" width="18"/>
    <col collapsed="false" customWidth="true" hidden="false" outlineLevel="0" max="6" min="6" style="0" width="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45.75" hidden="false" customHeight="true" outlineLevel="0" collapsed="false">
      <c r="A6" s="5" t="s">
        <v>9</v>
      </c>
      <c r="B6" s="6" t="s">
        <v>10</v>
      </c>
      <c r="C6" s="7" t="s">
        <v>11</v>
      </c>
      <c r="D6" s="5" t="s">
        <v>12</v>
      </c>
      <c r="E6" s="5" t="s">
        <v>13</v>
      </c>
      <c r="F6" s="5" t="s">
        <v>14</v>
      </c>
    </row>
    <row r="7" customFormat="false" ht="45.75" hidden="false" customHeight="true" outlineLevel="0" collapsed="false">
      <c r="A7" s="8" t="s">
        <v>15</v>
      </c>
      <c r="B7" s="9" t="s">
        <v>16</v>
      </c>
      <c r="C7" s="10" t="s">
        <v>17</v>
      </c>
      <c r="D7" s="8" t="s">
        <v>18</v>
      </c>
      <c r="E7" s="8" t="s">
        <v>19</v>
      </c>
      <c r="F7" s="8" t="s">
        <v>20</v>
      </c>
    </row>
    <row r="8" customFormat="false" ht="45.75" hidden="false" customHeight="true" outlineLevel="0" collapsed="false">
      <c r="A8" s="5" t="s">
        <v>21</v>
      </c>
      <c r="B8" s="6" t="s">
        <v>22</v>
      </c>
      <c r="C8" s="7" t="s">
        <v>23</v>
      </c>
      <c r="D8" s="5" t="s">
        <v>24</v>
      </c>
      <c r="E8" s="5" t="s">
        <v>25</v>
      </c>
      <c r="F8" s="5" t="s">
        <v>26</v>
      </c>
    </row>
    <row r="9" customFormat="false" ht="45.75" hidden="false" customHeight="true" outlineLevel="0" collapsed="false">
      <c r="A9" s="8" t="s">
        <v>27</v>
      </c>
      <c r="B9" s="9" t="s">
        <v>28</v>
      </c>
      <c r="C9" s="10" t="s">
        <v>29</v>
      </c>
      <c r="D9" s="8" t="s">
        <v>30</v>
      </c>
      <c r="E9" s="8" t="s">
        <v>31</v>
      </c>
      <c r="F9" s="8" t="s">
        <v>32</v>
      </c>
    </row>
    <row r="10" customFormat="false" ht="45.75" hidden="false" customHeight="true" outlineLevel="0" collapsed="false">
      <c r="A10" s="5" t="s">
        <v>33</v>
      </c>
      <c r="B10" s="6" t="s">
        <v>34</v>
      </c>
      <c r="C10" s="7" t="s">
        <v>35</v>
      </c>
      <c r="D10" s="5" t="s">
        <v>36</v>
      </c>
      <c r="E10" s="5" t="s">
        <v>37</v>
      </c>
      <c r="F10" s="5" t="s">
        <v>38</v>
      </c>
    </row>
    <row r="12" customFormat="false" ht="21.75" hidden="false" customHeight="true" outlineLevel="0" collapsed="false">
      <c r="A12" s="3" t="s">
        <v>39</v>
      </c>
      <c r="B12" s="3"/>
      <c r="C12" s="3"/>
      <c r="D12" s="3"/>
      <c r="E12" s="3"/>
      <c r="F12" s="3"/>
    </row>
    <row r="13" customFormat="false" ht="39.75" hidden="false" customHeight="true" outlineLevel="0" collapsed="false">
      <c r="A13" s="11" t="s">
        <v>40</v>
      </c>
      <c r="B13" s="12" t="s">
        <v>41</v>
      </c>
      <c r="C13" s="13" t="s">
        <v>42</v>
      </c>
      <c r="D13" s="13"/>
      <c r="E13" s="13"/>
      <c r="F13" s="13"/>
    </row>
    <row r="14" customFormat="false" ht="39.75" hidden="false" customHeight="true" outlineLevel="0" collapsed="false">
      <c r="A14" s="14" t="s">
        <v>43</v>
      </c>
      <c r="B14" s="15" t="s">
        <v>44</v>
      </c>
      <c r="C14" s="16" t="s">
        <v>45</v>
      </c>
      <c r="D14" s="16"/>
      <c r="E14" s="16"/>
      <c r="F14" s="16"/>
    </row>
    <row r="15" customFormat="false" ht="39.75" hidden="false" customHeight="true" outlineLevel="0" collapsed="false">
      <c r="A15" s="11" t="s">
        <v>46</v>
      </c>
      <c r="B15" s="12" t="s">
        <v>47</v>
      </c>
      <c r="C15" s="13" t="s">
        <v>48</v>
      </c>
      <c r="D15" s="13"/>
      <c r="E15" s="13"/>
      <c r="F15" s="13"/>
    </row>
    <row r="16" customFormat="false" ht="39.75" hidden="false" customHeight="true" outlineLevel="0" collapsed="false">
      <c r="A16" s="14" t="s">
        <v>49</v>
      </c>
      <c r="B16" s="15" t="s">
        <v>50</v>
      </c>
      <c r="C16" s="16" t="s">
        <v>51</v>
      </c>
      <c r="D16" s="16"/>
      <c r="E16" s="16"/>
      <c r="F16" s="16"/>
    </row>
    <row r="17" customFormat="false" ht="39.75" hidden="false" customHeight="true" outlineLevel="0" collapsed="false">
      <c r="A17" s="11" t="s">
        <v>52</v>
      </c>
      <c r="B17" s="12" t="s">
        <v>53</v>
      </c>
      <c r="C17" s="13" t="s">
        <v>54</v>
      </c>
      <c r="D17" s="13"/>
      <c r="E17" s="13"/>
      <c r="F17" s="13"/>
    </row>
    <row r="18" customFormat="false" ht="39.75" hidden="false" customHeight="true" outlineLevel="0" collapsed="false">
      <c r="A18" s="14" t="s">
        <v>55</v>
      </c>
      <c r="B18" s="15" t="s">
        <v>56</v>
      </c>
      <c r="C18" s="16" t="s">
        <v>57</v>
      </c>
      <c r="D18" s="16"/>
      <c r="E18" s="16"/>
      <c r="F18" s="16"/>
    </row>
  </sheetData>
  <mergeCells count="10">
    <mergeCell ref="A1:F1"/>
    <mergeCell ref="A2:F2"/>
    <mergeCell ref="A4:F4"/>
    <mergeCell ref="A12:F12"/>
    <mergeCell ref="C13:F13"/>
    <mergeCell ref="C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31.5" hidden="false" customHeight="true" outlineLevel="0" collapsed="false">
      <c r="A1" s="17" t="s">
        <v>58</v>
      </c>
      <c r="B1" s="17"/>
      <c r="C1" s="17"/>
      <c r="D1" s="17"/>
      <c r="E1" s="17"/>
      <c r="F1" s="17"/>
      <c r="G1" s="17"/>
      <c r="H1" s="17"/>
      <c r="I1" s="17"/>
    </row>
    <row r="2" customFormat="false" ht="18" hidden="false" customHeight="true" outlineLevel="0" collapsed="false">
      <c r="A2" s="18" t="s">
        <v>59</v>
      </c>
      <c r="B2" s="18"/>
      <c r="C2" s="18"/>
      <c r="D2" s="18"/>
      <c r="E2" s="18"/>
      <c r="F2" s="18"/>
      <c r="G2" s="18"/>
      <c r="H2" s="18"/>
      <c r="I2" s="18"/>
    </row>
    <row r="3" customFormat="false" ht="30" hidden="false" customHeight="true" outlineLevel="0" collapsed="false">
      <c r="A3" s="4" t="s">
        <v>3</v>
      </c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  <c r="G3" s="4" t="s">
        <v>65</v>
      </c>
      <c r="H3" s="4" t="s">
        <v>66</v>
      </c>
      <c r="I3" s="4" t="s">
        <v>67</v>
      </c>
    </row>
    <row r="4" customFormat="false" ht="51.75" hidden="false" customHeight="true" outlineLevel="0" collapsed="false">
      <c r="A4" s="11" t="s">
        <v>68</v>
      </c>
      <c r="B4" s="7" t="s">
        <v>69</v>
      </c>
      <c r="C4" s="7" t="s">
        <v>70</v>
      </c>
      <c r="D4" s="5"/>
      <c r="E4" s="7" t="s">
        <v>71</v>
      </c>
      <c r="F4" s="7" t="s">
        <v>72</v>
      </c>
      <c r="G4" s="7" t="s">
        <v>73</v>
      </c>
      <c r="H4" s="19" t="s">
        <v>74</v>
      </c>
      <c r="I4" s="7"/>
    </row>
    <row r="5" customFormat="false" ht="51.75" hidden="false" customHeight="true" outlineLevel="0" collapsed="false">
      <c r="A5" s="14" t="s">
        <v>75</v>
      </c>
      <c r="B5" s="10" t="s">
        <v>76</v>
      </c>
      <c r="C5" s="10" t="s">
        <v>70</v>
      </c>
      <c r="D5" s="8"/>
      <c r="E5" s="10" t="s">
        <v>77</v>
      </c>
      <c r="F5" s="10" t="s">
        <v>78</v>
      </c>
      <c r="G5" s="10" t="s">
        <v>79</v>
      </c>
      <c r="H5" s="19" t="s">
        <v>74</v>
      </c>
      <c r="I5" s="10"/>
    </row>
    <row r="6" customFormat="false" ht="51.75" hidden="false" customHeight="true" outlineLevel="0" collapsed="false">
      <c r="A6" s="11" t="s">
        <v>80</v>
      </c>
      <c r="B6" s="7" t="s">
        <v>81</v>
      </c>
      <c r="C6" s="7" t="s">
        <v>70</v>
      </c>
      <c r="D6" s="5"/>
      <c r="E6" s="7" t="s">
        <v>82</v>
      </c>
      <c r="F6" s="7" t="s">
        <v>83</v>
      </c>
      <c r="G6" s="7" t="s">
        <v>84</v>
      </c>
      <c r="H6" s="19" t="s">
        <v>74</v>
      </c>
      <c r="I6" s="7"/>
    </row>
    <row r="7" customFormat="false" ht="51.75" hidden="false" customHeight="true" outlineLevel="0" collapsed="false">
      <c r="A7" s="14" t="s">
        <v>85</v>
      </c>
      <c r="B7" s="10" t="s">
        <v>86</v>
      </c>
      <c r="C7" s="10" t="s">
        <v>87</v>
      </c>
      <c r="D7" s="8"/>
      <c r="E7" s="10" t="s">
        <v>88</v>
      </c>
      <c r="F7" s="10" t="s">
        <v>89</v>
      </c>
      <c r="G7" s="10" t="s">
        <v>90</v>
      </c>
      <c r="H7" s="19" t="s">
        <v>74</v>
      </c>
      <c r="I7" s="10"/>
    </row>
    <row r="8" customFormat="false" ht="51.75" hidden="false" customHeight="true" outlineLevel="0" collapsed="false">
      <c r="A8" s="11" t="s">
        <v>91</v>
      </c>
      <c r="B8" s="7" t="s">
        <v>92</v>
      </c>
      <c r="C8" s="7" t="s">
        <v>93</v>
      </c>
      <c r="D8" s="5"/>
      <c r="E8" s="7" t="s">
        <v>94</v>
      </c>
      <c r="F8" s="7" t="s">
        <v>95</v>
      </c>
      <c r="G8" s="7" t="s">
        <v>96</v>
      </c>
      <c r="H8" s="19" t="s">
        <v>74</v>
      </c>
      <c r="I8" s="7"/>
    </row>
    <row r="9" customFormat="false" ht="51.75" hidden="false" customHeight="true" outlineLevel="0" collapsed="false">
      <c r="A9" s="14" t="s">
        <v>97</v>
      </c>
      <c r="B9" s="10" t="s">
        <v>98</v>
      </c>
      <c r="C9" s="10" t="s">
        <v>99</v>
      </c>
      <c r="D9" s="8"/>
      <c r="E9" s="10" t="s">
        <v>100</v>
      </c>
      <c r="F9" s="10" t="s">
        <v>101</v>
      </c>
      <c r="G9" s="10" t="s">
        <v>102</v>
      </c>
      <c r="H9" s="19" t="s">
        <v>74</v>
      </c>
      <c r="I9" s="10"/>
    </row>
    <row r="10" customFormat="false" ht="51.75" hidden="false" customHeight="true" outlineLevel="0" collapsed="false">
      <c r="A10" s="11" t="s">
        <v>103</v>
      </c>
      <c r="B10" s="7" t="s">
        <v>104</v>
      </c>
      <c r="C10" s="7" t="s">
        <v>105</v>
      </c>
      <c r="D10" s="5"/>
      <c r="E10" s="7" t="s">
        <v>106</v>
      </c>
      <c r="F10" s="7" t="s">
        <v>107</v>
      </c>
      <c r="G10" s="7" t="s">
        <v>108</v>
      </c>
      <c r="H10" s="19" t="s">
        <v>74</v>
      </c>
      <c r="I10" s="7"/>
    </row>
    <row r="11" customFormat="false" ht="51.75" hidden="false" customHeight="true" outlineLevel="0" collapsed="false">
      <c r="A11" s="14" t="s">
        <v>109</v>
      </c>
      <c r="B11" s="10" t="s">
        <v>110</v>
      </c>
      <c r="C11" s="10" t="s">
        <v>111</v>
      </c>
      <c r="D11" s="8"/>
      <c r="E11" s="10" t="s">
        <v>112</v>
      </c>
      <c r="F11" s="10" t="s">
        <v>113</v>
      </c>
      <c r="G11" s="10" t="s">
        <v>114</v>
      </c>
      <c r="H11" s="19" t="s">
        <v>74</v>
      </c>
      <c r="I11" s="10"/>
    </row>
    <row r="12" customFormat="false" ht="51.75" hidden="false" customHeight="true" outlineLevel="0" collapsed="false">
      <c r="A12" s="11" t="s">
        <v>115</v>
      </c>
      <c r="B12" s="7" t="s">
        <v>116</v>
      </c>
      <c r="C12" s="7" t="s">
        <v>117</v>
      </c>
      <c r="D12" s="5"/>
      <c r="E12" s="7" t="s">
        <v>118</v>
      </c>
      <c r="F12" s="7" t="s">
        <v>119</v>
      </c>
      <c r="G12" s="7" t="s">
        <v>120</v>
      </c>
      <c r="H12" s="20" t="s">
        <v>121</v>
      </c>
      <c r="I12" s="7"/>
    </row>
    <row r="13" customFormat="false" ht="51.75" hidden="false" customHeight="true" outlineLevel="0" collapsed="false">
      <c r="A13" s="14" t="s">
        <v>122</v>
      </c>
      <c r="B13" s="10" t="s">
        <v>123</v>
      </c>
      <c r="C13" s="10" t="s">
        <v>124</v>
      </c>
      <c r="D13" s="8"/>
      <c r="E13" s="10" t="s">
        <v>125</v>
      </c>
      <c r="F13" s="10" t="s">
        <v>126</v>
      </c>
      <c r="G13" s="10" t="s">
        <v>127</v>
      </c>
      <c r="H13" s="20" t="s">
        <v>121</v>
      </c>
      <c r="I13" s="10"/>
    </row>
    <row r="14" customFormat="false" ht="51.75" hidden="false" customHeight="true" outlineLevel="0" collapsed="false">
      <c r="A14" s="11" t="s">
        <v>128</v>
      </c>
      <c r="B14" s="7" t="s">
        <v>129</v>
      </c>
      <c r="C14" s="7" t="s">
        <v>130</v>
      </c>
      <c r="D14" s="5"/>
      <c r="E14" s="7" t="s">
        <v>131</v>
      </c>
      <c r="F14" s="7" t="s">
        <v>132</v>
      </c>
      <c r="G14" s="7" t="s">
        <v>133</v>
      </c>
      <c r="H14" s="19" t="s">
        <v>74</v>
      </c>
      <c r="I14" s="7"/>
    </row>
    <row r="15" customFormat="false" ht="51.75" hidden="false" customHeight="true" outlineLevel="0" collapsed="false">
      <c r="A15" s="14" t="s">
        <v>134</v>
      </c>
      <c r="B15" s="10" t="s">
        <v>135</v>
      </c>
      <c r="C15" s="10" t="s">
        <v>136</v>
      </c>
      <c r="D15" s="8"/>
      <c r="E15" s="10" t="s">
        <v>137</v>
      </c>
      <c r="F15" s="10" t="s">
        <v>138</v>
      </c>
      <c r="G15" s="10" t="s">
        <v>139</v>
      </c>
      <c r="H15" s="20" t="s">
        <v>121</v>
      </c>
      <c r="I15" s="10"/>
    </row>
    <row r="16" customFormat="false" ht="19.5" hidden="false" customHeight="true" outlineLevel="0" collapsed="false">
      <c r="A16" s="21" t="s">
        <v>140</v>
      </c>
      <c r="B16" s="21"/>
      <c r="C16" s="21"/>
      <c r="D16" s="21"/>
      <c r="E16" s="21"/>
      <c r="F16" s="21"/>
      <c r="G16" s="21"/>
      <c r="H16" s="22" t="str">
        <f aca="false">IF(COUNTIF(D4:D15,"No")&gt;0,"NOT APPROVED — Review blockers",IF(COUNTIF(D4:D15,"Pending")&gt;0,"PENDING — Complete all questions","APPROVED — Proceed to governance checklist"))</f>
        <v>APPROVED — Proceed to governance checklist</v>
      </c>
      <c r="I16" s="22"/>
    </row>
  </sheetData>
  <autoFilter ref="A3:I15"/>
  <mergeCells count="4">
    <mergeCell ref="A1:I1"/>
    <mergeCell ref="A2:I2"/>
    <mergeCell ref="A16:G16"/>
    <mergeCell ref="H16:I16"/>
  </mergeCells>
  <dataValidations count="2">
    <dataValidation allowBlank="true" errorStyle="stop" operator="between" showDropDown="false" showErrorMessage="false" showInputMessage="false" sqref="D4:D15" type="list">
      <formula1>"Yes,No,N/A,Pending"</formula1>
      <formula2>0</formula2>
    </dataValidation>
    <dataValidation allowBlank="true" errorStyle="stop" operator="between" showDropDown="false" showErrorMessage="false" showInputMessage="false" sqref="H4:H15" type="list">
      <formula1>"Blocker,Required,Recommended,Not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7" min="6" style="0" width="2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31.5" hidden="false" customHeight="true" outlineLevel="0" collapsed="false">
      <c r="A1" s="17" t="s">
        <v>141</v>
      </c>
      <c r="B1" s="17"/>
      <c r="C1" s="17"/>
      <c r="D1" s="17"/>
      <c r="E1" s="17"/>
      <c r="F1" s="17"/>
      <c r="G1" s="17"/>
      <c r="H1" s="17"/>
      <c r="I1" s="17"/>
      <c r="J1" s="17"/>
    </row>
    <row r="2" customFormat="false" ht="18" hidden="false" customHeight="true" outlineLevel="0" collapsed="false">
      <c r="A2" s="18" t="s">
        <v>142</v>
      </c>
      <c r="B2" s="18"/>
      <c r="C2" s="18"/>
      <c r="D2" s="18"/>
      <c r="E2" s="18"/>
      <c r="F2" s="18"/>
      <c r="G2" s="18"/>
      <c r="H2" s="18"/>
      <c r="I2" s="18"/>
      <c r="J2" s="18"/>
    </row>
    <row r="3" customFormat="false" ht="30" hidden="false" customHeight="true" outlineLevel="0" collapsed="false">
      <c r="A3" s="4" t="s">
        <v>3</v>
      </c>
      <c r="B3" s="4" t="s">
        <v>143</v>
      </c>
      <c r="C3" s="4" t="s">
        <v>61</v>
      </c>
      <c r="D3" s="4" t="s">
        <v>144</v>
      </c>
      <c r="E3" s="4" t="s">
        <v>145</v>
      </c>
      <c r="F3" s="4" t="s">
        <v>65</v>
      </c>
      <c r="G3" s="4" t="s">
        <v>146</v>
      </c>
      <c r="H3" s="4" t="s">
        <v>7</v>
      </c>
      <c r="I3" s="4" t="s">
        <v>147</v>
      </c>
      <c r="J3" s="4" t="s">
        <v>148</v>
      </c>
    </row>
    <row r="4" customFormat="false" ht="19.5" hidden="false" customHeight="true" outlineLevel="0" collapsed="false">
      <c r="A4" s="23" t="s">
        <v>149</v>
      </c>
      <c r="B4" s="23"/>
      <c r="C4" s="23"/>
      <c r="D4" s="23"/>
      <c r="E4" s="23"/>
      <c r="F4" s="23"/>
      <c r="G4" s="23"/>
      <c r="H4" s="23"/>
      <c r="I4" s="23"/>
      <c r="J4" s="23"/>
    </row>
    <row r="5" customFormat="false" ht="49.5" hidden="false" customHeight="true" outlineLevel="0" collapsed="false">
      <c r="A5" s="14" t="s">
        <v>150</v>
      </c>
      <c r="B5" s="10" t="s">
        <v>151</v>
      </c>
      <c r="C5" s="8" t="s">
        <v>130</v>
      </c>
      <c r="D5" s="19" t="s">
        <v>74</v>
      </c>
      <c r="E5" s="8"/>
      <c r="F5" s="10" t="s">
        <v>152</v>
      </c>
      <c r="G5" s="10"/>
      <c r="H5" s="8"/>
      <c r="I5" s="8"/>
      <c r="J5" s="10"/>
    </row>
    <row r="6" customFormat="false" ht="49.5" hidden="false" customHeight="true" outlineLevel="0" collapsed="false">
      <c r="A6" s="11" t="s">
        <v>153</v>
      </c>
      <c r="B6" s="7" t="s">
        <v>154</v>
      </c>
      <c r="C6" s="5" t="s">
        <v>130</v>
      </c>
      <c r="D6" s="19" t="s">
        <v>74</v>
      </c>
      <c r="E6" s="5"/>
      <c r="F6" s="7" t="s">
        <v>155</v>
      </c>
      <c r="G6" s="7"/>
      <c r="H6" s="5"/>
      <c r="I6" s="5"/>
      <c r="J6" s="7"/>
    </row>
    <row r="7" customFormat="false" ht="49.5" hidden="false" customHeight="true" outlineLevel="0" collapsed="false">
      <c r="A7" s="14" t="s">
        <v>156</v>
      </c>
      <c r="B7" s="10" t="s">
        <v>157</v>
      </c>
      <c r="C7" s="8" t="s">
        <v>130</v>
      </c>
      <c r="D7" s="19" t="s">
        <v>74</v>
      </c>
      <c r="E7" s="8"/>
      <c r="F7" s="10" t="s">
        <v>158</v>
      </c>
      <c r="G7" s="10"/>
      <c r="H7" s="8"/>
      <c r="I7" s="8"/>
      <c r="J7" s="10"/>
    </row>
    <row r="8" customFormat="false" ht="49.5" hidden="false" customHeight="true" outlineLevel="0" collapsed="false">
      <c r="A8" s="11" t="s">
        <v>159</v>
      </c>
      <c r="B8" s="7" t="s">
        <v>160</v>
      </c>
      <c r="C8" s="5" t="s">
        <v>130</v>
      </c>
      <c r="D8" s="20" t="s">
        <v>121</v>
      </c>
      <c r="E8" s="5"/>
      <c r="F8" s="7" t="s">
        <v>161</v>
      </c>
      <c r="G8" s="7"/>
      <c r="H8" s="5"/>
      <c r="I8" s="5"/>
      <c r="J8" s="7"/>
    </row>
    <row r="9" customFormat="false" ht="19.5" hidden="false" customHeight="true" outlineLevel="0" collapsed="false">
      <c r="A9" s="23" t="s">
        <v>162</v>
      </c>
      <c r="B9" s="23"/>
      <c r="C9" s="23"/>
      <c r="D9" s="23"/>
      <c r="E9" s="23"/>
      <c r="F9" s="23"/>
      <c r="G9" s="23"/>
      <c r="H9" s="23"/>
      <c r="I9" s="23"/>
      <c r="J9" s="23"/>
    </row>
    <row r="10" customFormat="false" ht="49.5" hidden="false" customHeight="true" outlineLevel="0" collapsed="false">
      <c r="A10" s="11" t="s">
        <v>163</v>
      </c>
      <c r="B10" s="7" t="s">
        <v>164</v>
      </c>
      <c r="C10" s="5" t="s">
        <v>165</v>
      </c>
      <c r="D10" s="19" t="s">
        <v>74</v>
      </c>
      <c r="E10" s="5"/>
      <c r="F10" s="7" t="s">
        <v>166</v>
      </c>
      <c r="G10" s="7"/>
      <c r="H10" s="5"/>
      <c r="I10" s="5"/>
      <c r="J10" s="7"/>
    </row>
    <row r="11" customFormat="false" ht="49.5" hidden="false" customHeight="true" outlineLevel="0" collapsed="false">
      <c r="A11" s="14" t="s">
        <v>167</v>
      </c>
      <c r="B11" s="10" t="s">
        <v>168</v>
      </c>
      <c r="C11" s="8" t="s">
        <v>165</v>
      </c>
      <c r="D11" s="19" t="s">
        <v>74</v>
      </c>
      <c r="E11" s="8"/>
      <c r="F11" s="10" t="s">
        <v>169</v>
      </c>
      <c r="G11" s="10"/>
      <c r="H11" s="8"/>
      <c r="I11" s="8"/>
      <c r="J11" s="10"/>
    </row>
    <row r="12" customFormat="false" ht="49.5" hidden="false" customHeight="true" outlineLevel="0" collapsed="false">
      <c r="A12" s="11" t="s">
        <v>170</v>
      </c>
      <c r="B12" s="7" t="s">
        <v>171</v>
      </c>
      <c r="C12" s="5" t="s">
        <v>165</v>
      </c>
      <c r="D12" s="19" t="s">
        <v>74</v>
      </c>
      <c r="E12" s="5"/>
      <c r="F12" s="7" t="s">
        <v>172</v>
      </c>
      <c r="G12" s="7"/>
      <c r="H12" s="5"/>
      <c r="I12" s="5"/>
      <c r="J12" s="7"/>
    </row>
    <row r="13" customFormat="false" ht="49.5" hidden="false" customHeight="true" outlineLevel="0" collapsed="false">
      <c r="A13" s="14" t="s">
        <v>173</v>
      </c>
      <c r="B13" s="10" t="s">
        <v>174</v>
      </c>
      <c r="C13" s="8" t="s">
        <v>165</v>
      </c>
      <c r="D13" s="20" t="s">
        <v>121</v>
      </c>
      <c r="E13" s="8"/>
      <c r="F13" s="10" t="s">
        <v>175</v>
      </c>
      <c r="G13" s="10"/>
      <c r="H13" s="8"/>
      <c r="I13" s="8"/>
      <c r="J13" s="10"/>
    </row>
    <row r="14" customFormat="false" ht="49.5" hidden="false" customHeight="true" outlineLevel="0" collapsed="false">
      <c r="A14" s="11" t="s">
        <v>176</v>
      </c>
      <c r="B14" s="7" t="s">
        <v>177</v>
      </c>
      <c r="C14" s="5" t="s">
        <v>165</v>
      </c>
      <c r="D14" s="20" t="s">
        <v>121</v>
      </c>
      <c r="E14" s="5"/>
      <c r="F14" s="7" t="s">
        <v>178</v>
      </c>
      <c r="G14" s="7"/>
      <c r="H14" s="5"/>
      <c r="I14" s="5"/>
      <c r="J14" s="7"/>
    </row>
    <row r="15" customFormat="false" ht="49.5" hidden="false" customHeight="true" outlineLevel="0" collapsed="false">
      <c r="A15" s="14" t="s">
        <v>179</v>
      </c>
      <c r="B15" s="10" t="s">
        <v>180</v>
      </c>
      <c r="C15" s="8" t="s">
        <v>165</v>
      </c>
      <c r="D15" s="20" t="s">
        <v>121</v>
      </c>
      <c r="E15" s="8"/>
      <c r="F15" s="10" t="s">
        <v>181</v>
      </c>
      <c r="G15" s="10"/>
      <c r="H15" s="8"/>
      <c r="I15" s="8"/>
      <c r="J15" s="10"/>
    </row>
    <row r="16" customFormat="false" ht="19.5" hidden="false" customHeight="true" outlineLevel="0" collapsed="false">
      <c r="A16" s="23" t="s">
        <v>182</v>
      </c>
      <c r="B16" s="23"/>
      <c r="C16" s="23"/>
      <c r="D16" s="23"/>
      <c r="E16" s="23"/>
      <c r="F16" s="23"/>
      <c r="G16" s="23"/>
      <c r="H16" s="23"/>
      <c r="I16" s="23"/>
      <c r="J16" s="23"/>
    </row>
    <row r="17" customFormat="false" ht="49.5" hidden="false" customHeight="true" outlineLevel="0" collapsed="false">
      <c r="A17" s="14" t="s">
        <v>183</v>
      </c>
      <c r="B17" s="10" t="s">
        <v>184</v>
      </c>
      <c r="C17" s="8" t="s">
        <v>185</v>
      </c>
      <c r="D17" s="19" t="s">
        <v>74</v>
      </c>
      <c r="E17" s="8"/>
      <c r="F17" s="10" t="s">
        <v>186</v>
      </c>
      <c r="G17" s="10"/>
      <c r="H17" s="8"/>
      <c r="I17" s="8"/>
      <c r="J17" s="10"/>
    </row>
    <row r="18" customFormat="false" ht="49.5" hidden="false" customHeight="true" outlineLevel="0" collapsed="false">
      <c r="A18" s="11" t="s">
        <v>187</v>
      </c>
      <c r="B18" s="7" t="s">
        <v>188</v>
      </c>
      <c r="C18" s="5" t="s">
        <v>185</v>
      </c>
      <c r="D18" s="20" t="s">
        <v>121</v>
      </c>
      <c r="E18" s="5"/>
      <c r="F18" s="7" t="s">
        <v>189</v>
      </c>
      <c r="G18" s="7"/>
      <c r="H18" s="5"/>
      <c r="I18" s="5"/>
      <c r="J18" s="7"/>
    </row>
    <row r="19" customFormat="false" ht="49.5" hidden="false" customHeight="true" outlineLevel="0" collapsed="false">
      <c r="A19" s="14" t="s">
        <v>190</v>
      </c>
      <c r="B19" s="10" t="s">
        <v>191</v>
      </c>
      <c r="C19" s="8" t="s">
        <v>185</v>
      </c>
      <c r="D19" s="20" t="s">
        <v>121</v>
      </c>
      <c r="E19" s="8"/>
      <c r="F19" s="10" t="s">
        <v>192</v>
      </c>
      <c r="G19" s="10"/>
      <c r="H19" s="8"/>
      <c r="I19" s="8"/>
      <c r="J19" s="10"/>
    </row>
    <row r="20" customFormat="false" ht="49.5" hidden="false" customHeight="true" outlineLevel="0" collapsed="false">
      <c r="A20" s="11" t="s">
        <v>193</v>
      </c>
      <c r="B20" s="7" t="s">
        <v>194</v>
      </c>
      <c r="C20" s="5" t="s">
        <v>185</v>
      </c>
      <c r="D20" s="24" t="s">
        <v>195</v>
      </c>
      <c r="E20" s="5"/>
      <c r="F20" s="7" t="s">
        <v>196</v>
      </c>
      <c r="G20" s="7"/>
      <c r="H20" s="5"/>
      <c r="I20" s="5"/>
      <c r="J20" s="7"/>
    </row>
    <row r="21" customFormat="false" ht="19.5" hidden="false" customHeight="true" outlineLevel="0" collapsed="false">
      <c r="A21" s="23" t="s">
        <v>197</v>
      </c>
      <c r="B21" s="23"/>
      <c r="C21" s="23"/>
      <c r="D21" s="23"/>
      <c r="E21" s="23"/>
      <c r="F21" s="23"/>
      <c r="G21" s="23"/>
      <c r="H21" s="23"/>
      <c r="I21" s="23"/>
      <c r="J21" s="23"/>
    </row>
    <row r="22" customFormat="false" ht="49.5" hidden="false" customHeight="true" outlineLevel="0" collapsed="false">
      <c r="A22" s="11" t="s">
        <v>198</v>
      </c>
      <c r="B22" s="7" t="s">
        <v>199</v>
      </c>
      <c r="C22" s="5" t="s">
        <v>200</v>
      </c>
      <c r="D22" s="19" t="s">
        <v>74</v>
      </c>
      <c r="E22" s="5"/>
      <c r="F22" s="7" t="s">
        <v>201</v>
      </c>
      <c r="G22" s="7"/>
      <c r="H22" s="5"/>
      <c r="I22" s="5"/>
      <c r="J22" s="7"/>
    </row>
    <row r="23" customFormat="false" ht="49.5" hidden="false" customHeight="true" outlineLevel="0" collapsed="false">
      <c r="A23" s="14" t="s">
        <v>202</v>
      </c>
      <c r="B23" s="10" t="s">
        <v>203</v>
      </c>
      <c r="C23" s="8" t="s">
        <v>200</v>
      </c>
      <c r="D23" s="19" t="s">
        <v>74</v>
      </c>
      <c r="E23" s="8"/>
      <c r="F23" s="10" t="s">
        <v>204</v>
      </c>
      <c r="G23" s="10"/>
      <c r="H23" s="8"/>
      <c r="I23" s="8"/>
      <c r="J23" s="10"/>
    </row>
    <row r="24" customFormat="false" ht="49.5" hidden="false" customHeight="true" outlineLevel="0" collapsed="false">
      <c r="A24" s="11" t="s">
        <v>205</v>
      </c>
      <c r="B24" s="7" t="s">
        <v>206</v>
      </c>
      <c r="C24" s="5" t="s">
        <v>200</v>
      </c>
      <c r="D24" s="19" t="s">
        <v>74</v>
      </c>
      <c r="E24" s="5"/>
      <c r="F24" s="7" t="s">
        <v>207</v>
      </c>
      <c r="G24" s="7"/>
      <c r="H24" s="5"/>
      <c r="I24" s="5"/>
      <c r="J24" s="7"/>
    </row>
    <row r="25" customFormat="false" ht="49.5" hidden="false" customHeight="true" outlineLevel="0" collapsed="false">
      <c r="A25" s="14" t="s">
        <v>208</v>
      </c>
      <c r="B25" s="10" t="s">
        <v>209</v>
      </c>
      <c r="C25" s="8" t="s">
        <v>200</v>
      </c>
      <c r="D25" s="20" t="s">
        <v>121</v>
      </c>
      <c r="E25" s="8"/>
      <c r="F25" s="10" t="s">
        <v>210</v>
      </c>
      <c r="G25" s="10"/>
      <c r="H25" s="8"/>
      <c r="I25" s="8"/>
      <c r="J25" s="10"/>
    </row>
    <row r="26" customFormat="false" ht="19.5" hidden="false" customHeight="true" outlineLevel="0" collapsed="false">
      <c r="A26" s="23" t="s">
        <v>211</v>
      </c>
      <c r="B26" s="23"/>
      <c r="C26" s="23"/>
      <c r="D26" s="23"/>
      <c r="E26" s="23"/>
      <c r="F26" s="23"/>
      <c r="G26" s="23"/>
      <c r="H26" s="23"/>
      <c r="I26" s="23"/>
      <c r="J26" s="23"/>
    </row>
    <row r="27" customFormat="false" ht="49.5" hidden="false" customHeight="true" outlineLevel="0" collapsed="false">
      <c r="A27" s="14" t="s">
        <v>212</v>
      </c>
      <c r="B27" s="10" t="s">
        <v>213</v>
      </c>
      <c r="C27" s="8" t="s">
        <v>214</v>
      </c>
      <c r="D27" s="19" t="s">
        <v>74</v>
      </c>
      <c r="E27" s="8"/>
      <c r="F27" s="10" t="s">
        <v>215</v>
      </c>
      <c r="G27" s="10"/>
      <c r="H27" s="8"/>
      <c r="I27" s="8"/>
      <c r="J27" s="10"/>
    </row>
    <row r="28" customFormat="false" ht="49.5" hidden="false" customHeight="true" outlineLevel="0" collapsed="false">
      <c r="A28" s="11" t="s">
        <v>216</v>
      </c>
      <c r="B28" s="7" t="s">
        <v>217</v>
      </c>
      <c r="C28" s="5" t="s">
        <v>214</v>
      </c>
      <c r="D28" s="19" t="s">
        <v>74</v>
      </c>
      <c r="E28" s="5"/>
      <c r="F28" s="7" t="s">
        <v>218</v>
      </c>
      <c r="G28" s="7"/>
      <c r="H28" s="5"/>
      <c r="I28" s="5"/>
      <c r="J28" s="7"/>
    </row>
    <row r="29" customFormat="false" ht="49.5" hidden="false" customHeight="true" outlineLevel="0" collapsed="false">
      <c r="A29" s="14" t="s">
        <v>219</v>
      </c>
      <c r="B29" s="10" t="s">
        <v>220</v>
      </c>
      <c r="C29" s="8" t="s">
        <v>214</v>
      </c>
      <c r="D29" s="19" t="s">
        <v>74</v>
      </c>
      <c r="E29" s="8"/>
      <c r="F29" s="10" t="s">
        <v>221</v>
      </c>
      <c r="G29" s="10"/>
      <c r="H29" s="8"/>
      <c r="I29" s="8"/>
      <c r="J29" s="10"/>
    </row>
    <row r="30" customFormat="false" ht="49.5" hidden="false" customHeight="true" outlineLevel="0" collapsed="false">
      <c r="A30" s="11" t="s">
        <v>222</v>
      </c>
      <c r="B30" s="7" t="s">
        <v>223</v>
      </c>
      <c r="C30" s="5" t="s">
        <v>214</v>
      </c>
      <c r="D30" s="20" t="s">
        <v>121</v>
      </c>
      <c r="E30" s="5"/>
      <c r="F30" s="7" t="s">
        <v>224</v>
      </c>
      <c r="G30" s="7"/>
      <c r="H30" s="5"/>
      <c r="I30" s="5"/>
      <c r="J30" s="7"/>
    </row>
    <row r="31" customFormat="false" ht="19.5" hidden="false" customHeight="true" outlineLevel="0" collapsed="false">
      <c r="A31" s="23" t="s">
        <v>225</v>
      </c>
      <c r="B31" s="23"/>
      <c r="C31" s="23"/>
      <c r="D31" s="23"/>
      <c r="E31" s="23"/>
      <c r="F31" s="23"/>
      <c r="G31" s="23"/>
      <c r="H31" s="23"/>
      <c r="I31" s="23"/>
      <c r="J31" s="23"/>
    </row>
    <row r="32" customFormat="false" ht="49.5" hidden="false" customHeight="true" outlineLevel="0" collapsed="false">
      <c r="A32" s="11" t="s">
        <v>226</v>
      </c>
      <c r="B32" s="7" t="s">
        <v>227</v>
      </c>
      <c r="C32" s="5" t="s">
        <v>228</v>
      </c>
      <c r="D32" s="19" t="s">
        <v>74</v>
      </c>
      <c r="E32" s="5"/>
      <c r="F32" s="7" t="s">
        <v>229</v>
      </c>
      <c r="G32" s="7"/>
      <c r="H32" s="5"/>
      <c r="I32" s="5"/>
      <c r="J32" s="7"/>
    </row>
    <row r="33" customFormat="false" ht="49.5" hidden="false" customHeight="true" outlineLevel="0" collapsed="false">
      <c r="A33" s="14" t="s">
        <v>230</v>
      </c>
      <c r="B33" s="10" t="s">
        <v>231</v>
      </c>
      <c r="C33" s="8" t="s">
        <v>228</v>
      </c>
      <c r="D33" s="20" t="s">
        <v>121</v>
      </c>
      <c r="E33" s="8"/>
      <c r="F33" s="10" t="s">
        <v>232</v>
      </c>
      <c r="G33" s="10"/>
      <c r="H33" s="8"/>
      <c r="I33" s="8"/>
      <c r="J33" s="10"/>
    </row>
    <row r="34" customFormat="false" ht="49.5" hidden="false" customHeight="true" outlineLevel="0" collapsed="false">
      <c r="A34" s="11" t="s">
        <v>233</v>
      </c>
      <c r="B34" s="7" t="s">
        <v>234</v>
      </c>
      <c r="C34" s="5" t="s">
        <v>228</v>
      </c>
      <c r="D34" s="20" t="s">
        <v>121</v>
      </c>
      <c r="E34" s="5"/>
      <c r="F34" s="7" t="s">
        <v>235</v>
      </c>
      <c r="G34" s="7"/>
      <c r="H34" s="5"/>
      <c r="I34" s="5"/>
      <c r="J34" s="7"/>
    </row>
    <row r="35" customFormat="false" ht="49.5" hidden="false" customHeight="true" outlineLevel="0" collapsed="false">
      <c r="A35" s="14" t="s">
        <v>236</v>
      </c>
      <c r="B35" s="10" t="s">
        <v>237</v>
      </c>
      <c r="C35" s="8" t="s">
        <v>228</v>
      </c>
      <c r="D35" s="24" t="s">
        <v>195</v>
      </c>
      <c r="E35" s="8"/>
      <c r="F35" s="10" t="s">
        <v>238</v>
      </c>
      <c r="G35" s="10"/>
      <c r="H35" s="8"/>
      <c r="I35" s="8"/>
      <c r="J35" s="10"/>
    </row>
    <row r="36" customFormat="false" ht="19.5" hidden="false" customHeight="true" outlineLevel="0" collapsed="false">
      <c r="A36" s="23" t="s">
        <v>239</v>
      </c>
      <c r="B36" s="23"/>
      <c r="C36" s="23"/>
      <c r="D36" s="23"/>
      <c r="E36" s="23"/>
      <c r="F36" s="23"/>
      <c r="G36" s="23"/>
      <c r="H36" s="23"/>
      <c r="I36" s="23"/>
      <c r="J36" s="23"/>
    </row>
    <row r="37" customFormat="false" ht="49.5" hidden="false" customHeight="true" outlineLevel="0" collapsed="false">
      <c r="A37" s="14" t="s">
        <v>240</v>
      </c>
      <c r="B37" s="10" t="s">
        <v>241</v>
      </c>
      <c r="C37" s="8" t="s">
        <v>117</v>
      </c>
      <c r="D37" s="19" t="s">
        <v>74</v>
      </c>
      <c r="E37" s="8"/>
      <c r="F37" s="10" t="s">
        <v>242</v>
      </c>
      <c r="G37" s="10"/>
      <c r="H37" s="8"/>
      <c r="I37" s="8"/>
      <c r="J37" s="10"/>
    </row>
    <row r="38" customFormat="false" ht="49.5" hidden="false" customHeight="true" outlineLevel="0" collapsed="false">
      <c r="A38" s="11" t="s">
        <v>243</v>
      </c>
      <c r="B38" s="7" t="s">
        <v>244</v>
      </c>
      <c r="C38" s="5" t="s">
        <v>117</v>
      </c>
      <c r="D38" s="19" t="s">
        <v>74</v>
      </c>
      <c r="E38" s="5"/>
      <c r="F38" s="7" t="s">
        <v>245</v>
      </c>
      <c r="G38" s="7"/>
      <c r="H38" s="5"/>
      <c r="I38" s="5"/>
      <c r="J38" s="7"/>
    </row>
    <row r="39" customFormat="false" ht="49.5" hidden="false" customHeight="true" outlineLevel="0" collapsed="false">
      <c r="A39" s="14" t="s">
        <v>246</v>
      </c>
      <c r="B39" s="10" t="s">
        <v>247</v>
      </c>
      <c r="C39" s="8" t="s">
        <v>117</v>
      </c>
      <c r="D39" s="20" t="s">
        <v>121</v>
      </c>
      <c r="E39" s="8"/>
      <c r="F39" s="10" t="s">
        <v>248</v>
      </c>
      <c r="G39" s="10"/>
      <c r="H39" s="8"/>
      <c r="I39" s="8"/>
      <c r="J39" s="10"/>
    </row>
    <row r="40" customFormat="false" ht="19.5" hidden="false" customHeight="true" outlineLevel="0" collapsed="false">
      <c r="A40" s="23" t="s">
        <v>249</v>
      </c>
      <c r="B40" s="23"/>
      <c r="C40" s="23"/>
      <c r="D40" s="23"/>
      <c r="E40" s="23"/>
      <c r="F40" s="23"/>
      <c r="G40" s="23"/>
      <c r="H40" s="23"/>
      <c r="I40" s="23"/>
      <c r="J40" s="23"/>
    </row>
    <row r="41" customFormat="false" ht="49.5" hidden="false" customHeight="true" outlineLevel="0" collapsed="false">
      <c r="A41" s="14" t="s">
        <v>250</v>
      </c>
      <c r="B41" s="10" t="s">
        <v>251</v>
      </c>
      <c r="C41" s="8" t="s">
        <v>111</v>
      </c>
      <c r="D41" s="19" t="s">
        <v>74</v>
      </c>
      <c r="E41" s="8"/>
      <c r="F41" s="10" t="s">
        <v>252</v>
      </c>
      <c r="G41" s="10"/>
      <c r="H41" s="8"/>
      <c r="I41" s="8"/>
      <c r="J41" s="10"/>
    </row>
    <row r="42" customFormat="false" ht="49.5" hidden="false" customHeight="true" outlineLevel="0" collapsed="false">
      <c r="A42" s="11" t="s">
        <v>253</v>
      </c>
      <c r="B42" s="7" t="s">
        <v>254</v>
      </c>
      <c r="C42" s="5" t="s">
        <v>111</v>
      </c>
      <c r="D42" s="20" t="s">
        <v>121</v>
      </c>
      <c r="E42" s="5"/>
      <c r="F42" s="7" t="s">
        <v>255</v>
      </c>
      <c r="G42" s="7"/>
      <c r="H42" s="5"/>
      <c r="I42" s="5"/>
      <c r="J42" s="7"/>
    </row>
    <row r="43" customFormat="false" ht="49.5" hidden="false" customHeight="true" outlineLevel="0" collapsed="false">
      <c r="A43" s="14" t="s">
        <v>256</v>
      </c>
      <c r="B43" s="10" t="s">
        <v>257</v>
      </c>
      <c r="C43" s="8" t="s">
        <v>111</v>
      </c>
      <c r="D43" s="20" t="s">
        <v>121</v>
      </c>
      <c r="E43" s="8"/>
      <c r="F43" s="10" t="s">
        <v>258</v>
      </c>
      <c r="G43" s="10"/>
      <c r="H43" s="8"/>
      <c r="I43" s="8"/>
      <c r="J43" s="10"/>
    </row>
    <row r="44" customFormat="false" ht="21.75" hidden="false" customHeight="true" outlineLevel="0" collapsed="false">
      <c r="A44" s="21" t="s">
        <v>259</v>
      </c>
      <c r="B44" s="21"/>
      <c r="C44" s="21"/>
      <c r="D44" s="21"/>
      <c r="E44" s="21"/>
      <c r="F44" s="21"/>
      <c r="G44" s="21"/>
      <c r="H44" s="21"/>
      <c r="I44" s="22" t="str">
        <f aca="false">IF(COUNTIF(E4:E43,"Fail")&gt;0,"NOT READY — Blockers/failures outstanding",IF(COUNTIF(E4:E43,"Pending")&gt;0,"IN PROGRESS","APPROVED FOR DEPLOYMENT"))</f>
        <v>APPROVED FOR DEPLOYMENT</v>
      </c>
      <c r="J44" s="22"/>
    </row>
  </sheetData>
  <autoFilter ref="A3:J43"/>
  <mergeCells count="12">
    <mergeCell ref="A1:J1"/>
    <mergeCell ref="A2:J2"/>
    <mergeCell ref="A4:J4"/>
    <mergeCell ref="A9:J9"/>
    <mergeCell ref="A16:J16"/>
    <mergeCell ref="A21:J21"/>
    <mergeCell ref="A26:J26"/>
    <mergeCell ref="A31:J31"/>
    <mergeCell ref="A36:J36"/>
    <mergeCell ref="A40:J40"/>
    <mergeCell ref="A44:H44"/>
    <mergeCell ref="I44:J44"/>
  </mergeCells>
  <dataValidations count="1">
    <dataValidation allowBlank="true" errorStyle="stop" operator="between" showDropDown="false" showErrorMessage="false" showInputMessage="false" sqref="E5:E8 E10:E15 E17:E20 E22:E25 E27:E30 E32:E35 E37:E39 E41:E43" type="list">
      <formula1>"Pass,Fail,Pending,Not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16"/>
    <col collapsed="false" customWidth="true" hidden="false" outlineLevel="0" max="8" min="5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7" t="s">
        <v>260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8" hidden="false" customHeight="true" outlineLevel="0" collapsed="false">
      <c r="A2" s="18" t="s">
        <v>261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36" hidden="false" customHeight="true" outlineLevel="0" collapsed="false">
      <c r="A3" s="4" t="s">
        <v>262</v>
      </c>
      <c r="B3" s="4" t="s">
        <v>263</v>
      </c>
      <c r="C3" s="4" t="s">
        <v>264</v>
      </c>
      <c r="D3" s="4" t="s">
        <v>265</v>
      </c>
      <c r="E3" s="4" t="s">
        <v>266</v>
      </c>
      <c r="F3" s="4" t="s">
        <v>267</v>
      </c>
      <c r="G3" s="4" t="s">
        <v>268</v>
      </c>
      <c r="H3" s="4" t="s">
        <v>269</v>
      </c>
      <c r="I3" s="4" t="s">
        <v>270</v>
      </c>
      <c r="J3" s="4" t="s">
        <v>271</v>
      </c>
      <c r="K3" s="4" t="s">
        <v>272</v>
      </c>
      <c r="L3" s="4" t="s">
        <v>148</v>
      </c>
    </row>
    <row r="4" customFormat="false" ht="60" hidden="false" customHeight="true" outlineLevel="0" collapsed="false">
      <c r="A4" s="25" t="s">
        <v>273</v>
      </c>
      <c r="B4" s="26" t="s">
        <v>274</v>
      </c>
      <c r="C4" s="26" t="s">
        <v>275</v>
      </c>
      <c r="D4" s="27" t="s">
        <v>276</v>
      </c>
      <c r="E4" s="27" t="s">
        <v>277</v>
      </c>
      <c r="F4" s="27" t="s">
        <v>277</v>
      </c>
      <c r="G4" s="27" t="s">
        <v>277</v>
      </c>
      <c r="H4" s="27" t="s">
        <v>277</v>
      </c>
      <c r="I4" s="27" t="s">
        <v>278</v>
      </c>
      <c r="J4" s="27" t="s">
        <v>279</v>
      </c>
      <c r="K4" s="27" t="s">
        <v>280</v>
      </c>
      <c r="L4" s="26"/>
    </row>
    <row r="5" customFormat="false" ht="60" hidden="false" customHeight="true" outlineLevel="0" collapsed="false">
      <c r="A5" s="28" t="s">
        <v>281</v>
      </c>
      <c r="B5" s="29" t="s">
        <v>282</v>
      </c>
      <c r="C5" s="29" t="s">
        <v>283</v>
      </c>
      <c r="D5" s="30" t="s">
        <v>276</v>
      </c>
      <c r="E5" s="30" t="s">
        <v>277</v>
      </c>
      <c r="F5" s="30" t="s">
        <v>277</v>
      </c>
      <c r="G5" s="30" t="s">
        <v>277</v>
      </c>
      <c r="H5" s="30" t="s">
        <v>277</v>
      </c>
      <c r="I5" s="30" t="s">
        <v>278</v>
      </c>
      <c r="J5" s="30" t="s">
        <v>284</v>
      </c>
      <c r="K5" s="30" t="s">
        <v>285</v>
      </c>
      <c r="L5" s="29"/>
    </row>
    <row r="6" customFormat="false" ht="60" hidden="false" customHeight="true" outlineLevel="0" collapsed="false">
      <c r="A6" s="31" t="s">
        <v>286</v>
      </c>
      <c r="B6" s="32" t="s">
        <v>287</v>
      </c>
      <c r="C6" s="32" t="s">
        <v>288</v>
      </c>
      <c r="D6" s="33" t="s">
        <v>289</v>
      </c>
      <c r="E6" s="33" t="s">
        <v>277</v>
      </c>
      <c r="F6" s="33" t="s">
        <v>290</v>
      </c>
      <c r="G6" s="33" t="s">
        <v>277</v>
      </c>
      <c r="H6" s="33" t="s">
        <v>277</v>
      </c>
      <c r="I6" s="33" t="s">
        <v>291</v>
      </c>
      <c r="J6" s="33" t="s">
        <v>21</v>
      </c>
      <c r="K6" s="33" t="s">
        <v>285</v>
      </c>
      <c r="L6" s="32"/>
    </row>
    <row r="7" customFormat="false" ht="60" hidden="false" customHeight="true" outlineLevel="0" collapsed="false">
      <c r="A7" s="34" t="s">
        <v>292</v>
      </c>
      <c r="B7" s="35" t="s">
        <v>293</v>
      </c>
      <c r="C7" s="35" t="s">
        <v>294</v>
      </c>
      <c r="D7" s="36" t="s">
        <v>295</v>
      </c>
      <c r="E7" s="36" t="s">
        <v>277</v>
      </c>
      <c r="F7" s="36" t="s">
        <v>296</v>
      </c>
      <c r="G7" s="36" t="s">
        <v>296</v>
      </c>
      <c r="H7" s="36" t="s">
        <v>297</v>
      </c>
      <c r="I7" s="36" t="s">
        <v>298</v>
      </c>
      <c r="J7" s="36" t="s">
        <v>299</v>
      </c>
      <c r="K7" s="36" t="s">
        <v>300</v>
      </c>
      <c r="L7" s="35"/>
    </row>
    <row r="9" customFormat="false" ht="19.5" hidden="false" customHeight="true" outlineLevel="0" collapsed="false">
      <c r="A9" s="37" t="s">
        <v>301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customFormat="false" ht="27.75" hidden="false" customHeight="true" outlineLevel="0" collapsed="false">
      <c r="A10" s="38" t="s">
        <v>302</v>
      </c>
      <c r="B10" s="38" t="s">
        <v>303</v>
      </c>
      <c r="C10" s="38" t="s">
        <v>263</v>
      </c>
      <c r="D10" s="38" t="s">
        <v>304</v>
      </c>
      <c r="E10" s="38" t="s">
        <v>305</v>
      </c>
      <c r="F10" s="38" t="s">
        <v>306</v>
      </c>
      <c r="G10" s="38" t="s">
        <v>307</v>
      </c>
      <c r="H10" s="38" t="s">
        <v>308</v>
      </c>
      <c r="I10" s="38" t="s">
        <v>309</v>
      </c>
      <c r="J10" s="38" t="s">
        <v>310</v>
      </c>
      <c r="K10" s="38" t="s">
        <v>148</v>
      </c>
      <c r="L10" s="38"/>
    </row>
    <row r="11" customFormat="false" ht="51.75" hidden="false" customHeight="true" outlineLevel="0" collapsed="false">
      <c r="A11" s="39" t="s">
        <v>311</v>
      </c>
      <c r="B11" s="40" t="s">
        <v>312</v>
      </c>
      <c r="C11" s="40" t="s">
        <v>313</v>
      </c>
      <c r="D11" s="41" t="s">
        <v>314</v>
      </c>
      <c r="E11" s="41" t="s">
        <v>315</v>
      </c>
      <c r="F11" s="24" t="s">
        <v>316</v>
      </c>
      <c r="G11" s="40" t="s">
        <v>317</v>
      </c>
      <c r="H11" s="19" t="s">
        <v>318</v>
      </c>
      <c r="I11" s="41" t="s">
        <v>319</v>
      </c>
      <c r="J11" s="41" t="s">
        <v>320</v>
      </c>
      <c r="K11" s="40"/>
    </row>
    <row r="12" customFormat="false" ht="51.75" hidden="false" customHeight="true" outlineLevel="0" collapsed="false">
      <c r="A12" s="42" t="s">
        <v>321</v>
      </c>
      <c r="B12" s="43" t="s">
        <v>322</v>
      </c>
      <c r="C12" s="43" t="s">
        <v>323</v>
      </c>
      <c r="D12" s="44" t="s">
        <v>324</v>
      </c>
      <c r="E12" s="44" t="s">
        <v>325</v>
      </c>
      <c r="F12" s="24" t="s">
        <v>316</v>
      </c>
      <c r="G12" s="43" t="s">
        <v>326</v>
      </c>
      <c r="H12" s="19" t="s">
        <v>327</v>
      </c>
      <c r="I12" s="44" t="s">
        <v>325</v>
      </c>
      <c r="J12" s="44" t="s">
        <v>316</v>
      </c>
      <c r="K12" s="43"/>
    </row>
    <row r="13" customFormat="false" ht="51.75" hidden="false" customHeight="true" outlineLevel="0" collapsed="false">
      <c r="A13" s="39" t="s">
        <v>328</v>
      </c>
      <c r="B13" s="40" t="s">
        <v>329</v>
      </c>
      <c r="C13" s="40" t="s">
        <v>330</v>
      </c>
      <c r="D13" s="41" t="s">
        <v>331</v>
      </c>
      <c r="E13" s="41" t="s">
        <v>325</v>
      </c>
      <c r="F13" s="24" t="s">
        <v>332</v>
      </c>
      <c r="G13" s="40" t="s">
        <v>333</v>
      </c>
      <c r="H13" s="19" t="s">
        <v>318</v>
      </c>
      <c r="I13" s="41" t="s">
        <v>325</v>
      </c>
      <c r="J13" s="41" t="s">
        <v>316</v>
      </c>
      <c r="K13" s="40"/>
    </row>
    <row r="14" customFormat="false" ht="51.75" hidden="false" customHeight="true" outlineLevel="0" collapsed="false">
      <c r="A14" s="42" t="s">
        <v>334</v>
      </c>
      <c r="B14" s="43" t="s">
        <v>335</v>
      </c>
      <c r="C14" s="43" t="s">
        <v>336</v>
      </c>
      <c r="D14" s="44" t="s">
        <v>337</v>
      </c>
      <c r="E14" s="44" t="s">
        <v>338</v>
      </c>
      <c r="F14" s="24" t="s">
        <v>339</v>
      </c>
      <c r="G14" s="43" t="s">
        <v>340</v>
      </c>
      <c r="H14" s="19" t="s">
        <v>341</v>
      </c>
      <c r="I14" s="44" t="s">
        <v>342</v>
      </c>
      <c r="J14" s="44" t="s">
        <v>316</v>
      </c>
      <c r="K14" s="43"/>
    </row>
  </sheetData>
  <mergeCells count="3">
    <mergeCell ref="A1:L1"/>
    <mergeCell ref="A2:L2"/>
    <mergeCell ref="A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8"/>
    <col collapsed="false" customWidth="true" hidden="false" outlineLevel="0" max="10" min="5" style="0" width="1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17" t="s">
        <v>343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8" hidden="false" customHeight="true" outlineLevel="0" collapsed="false">
      <c r="A2" s="18" t="s">
        <v>344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customFormat="false" ht="15.75" hidden="false" customHeight="true" outlineLevel="0" collapsed="false">
      <c r="A3" s="45" t="s">
        <v>345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customFormat="false" ht="42" hidden="false" customHeight="true" outlineLevel="0" collapsed="false">
      <c r="A4" s="4" t="s">
        <v>346</v>
      </c>
      <c r="B4" s="4" t="s">
        <v>347</v>
      </c>
      <c r="C4" s="4" t="s">
        <v>348</v>
      </c>
      <c r="D4" s="4" t="s">
        <v>349</v>
      </c>
      <c r="E4" s="4" t="s">
        <v>350</v>
      </c>
      <c r="F4" s="4" t="s">
        <v>351</v>
      </c>
      <c r="G4" s="4" t="s">
        <v>352</v>
      </c>
      <c r="H4" s="4" t="s">
        <v>353</v>
      </c>
      <c r="I4" s="4" t="s">
        <v>354</v>
      </c>
      <c r="J4" s="4" t="s">
        <v>355</v>
      </c>
      <c r="K4" s="4" t="s">
        <v>356</v>
      </c>
      <c r="L4" s="4" t="s">
        <v>357</v>
      </c>
      <c r="M4" s="4" t="s">
        <v>358</v>
      </c>
      <c r="N4" s="4" t="s">
        <v>285</v>
      </c>
    </row>
    <row r="5" customFormat="false" ht="36" hidden="false" customHeight="true" outlineLevel="0" collapsed="false">
      <c r="A5" s="7" t="s">
        <v>359</v>
      </c>
      <c r="B5" s="7" t="s">
        <v>360</v>
      </c>
      <c r="C5" s="7" t="s">
        <v>361</v>
      </c>
      <c r="D5" s="5" t="s">
        <v>9</v>
      </c>
      <c r="E5" s="5" t="s">
        <v>27</v>
      </c>
      <c r="F5" s="5" t="s">
        <v>21</v>
      </c>
      <c r="G5" s="5" t="s">
        <v>33</v>
      </c>
      <c r="H5" s="5" t="s">
        <v>27</v>
      </c>
      <c r="I5" s="5" t="s">
        <v>21</v>
      </c>
      <c r="J5" s="46" t="n">
        <f aca="false">E6+F6+G6+H6+I6</f>
        <v>17</v>
      </c>
      <c r="K5" s="5" t="s">
        <v>362</v>
      </c>
      <c r="L5" s="5" t="s">
        <v>363</v>
      </c>
      <c r="M5" s="5" t="s">
        <v>364</v>
      </c>
      <c r="N5" s="7" t="s">
        <v>365</v>
      </c>
    </row>
    <row r="6" customFormat="false" ht="36" hidden="false" customHeight="true" outlineLevel="0" collapsed="false">
      <c r="A6" s="10" t="s">
        <v>366</v>
      </c>
      <c r="B6" s="10" t="s">
        <v>367</v>
      </c>
      <c r="C6" s="10" t="s">
        <v>368</v>
      </c>
      <c r="D6" s="8" t="s">
        <v>9</v>
      </c>
      <c r="E6" s="8" t="s">
        <v>21</v>
      </c>
      <c r="F6" s="8" t="s">
        <v>27</v>
      </c>
      <c r="G6" s="8" t="s">
        <v>33</v>
      </c>
      <c r="H6" s="8" t="s">
        <v>21</v>
      </c>
      <c r="I6" s="8" t="s">
        <v>15</v>
      </c>
      <c r="J6" s="47" t="n">
        <f aca="false">E7+F7+G7+H7+I7</f>
        <v>12</v>
      </c>
      <c r="K6" s="8" t="s">
        <v>369</v>
      </c>
      <c r="L6" s="8" t="s">
        <v>370</v>
      </c>
      <c r="M6" s="8" t="s">
        <v>371</v>
      </c>
      <c r="N6" s="10" t="s">
        <v>372</v>
      </c>
    </row>
    <row r="7" customFormat="false" ht="36" hidden="false" customHeight="true" outlineLevel="0" collapsed="false">
      <c r="A7" s="7" t="s">
        <v>373</v>
      </c>
      <c r="B7" s="7" t="s">
        <v>367</v>
      </c>
      <c r="C7" s="7" t="s">
        <v>374</v>
      </c>
      <c r="D7" s="5" t="s">
        <v>15</v>
      </c>
      <c r="E7" s="5" t="s">
        <v>15</v>
      </c>
      <c r="F7" s="5" t="s">
        <v>21</v>
      </c>
      <c r="G7" s="5" t="s">
        <v>21</v>
      </c>
      <c r="H7" s="5" t="s">
        <v>15</v>
      </c>
      <c r="I7" s="5" t="s">
        <v>15</v>
      </c>
      <c r="J7" s="46" t="n">
        <f aca="false">E8+F8+G8+H8+I8</f>
        <v>0</v>
      </c>
      <c r="K7" s="5" t="s">
        <v>375</v>
      </c>
      <c r="L7" s="5" t="s">
        <v>376</v>
      </c>
      <c r="M7" s="5" t="s">
        <v>376</v>
      </c>
      <c r="N7" s="7" t="s">
        <v>377</v>
      </c>
    </row>
    <row r="8" customFormat="false" ht="36" hidden="false" customHeight="true" outlineLevel="0" collapsed="false">
      <c r="A8" s="10"/>
      <c r="B8" s="10"/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10"/>
    </row>
    <row r="9" customFormat="false" ht="36" hidden="false" customHeight="true" outlineLevel="0" collapsed="false">
      <c r="A9" s="7"/>
      <c r="B9" s="7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7"/>
    </row>
    <row r="11" customFormat="false" ht="19.5" hidden="false" customHeight="true" outlineLevel="0" collapsed="false">
      <c r="A11" s="21" t="s">
        <v>378</v>
      </c>
      <c r="B11" s="21"/>
      <c r="C11" s="21"/>
      <c r="D11" s="21"/>
    </row>
    <row r="12" customFormat="false" ht="21.75" hidden="false" customHeight="true" outlineLevel="0" collapsed="false">
      <c r="A12" s="48" t="s">
        <v>379</v>
      </c>
      <c r="B12" s="49" t="n">
        <f aca="false">COUNTIF(K5:K9,"Active — monitoring")+COUNTIF(K5:K9,"Stabilisation")</f>
        <v>2</v>
      </c>
    </row>
    <row r="13" customFormat="false" ht="21.75" hidden="false" customHeight="true" outlineLevel="0" collapsed="false">
      <c r="A13" s="50" t="s">
        <v>380</v>
      </c>
      <c r="B13" s="51" t="n">
        <f aca="false">SUM(J5:J9)</f>
        <v>29</v>
      </c>
    </row>
    <row r="14" customFormat="false" ht="21.75" hidden="false" customHeight="true" outlineLevel="0" collapsed="false">
      <c r="A14" s="48" t="s">
        <v>381</v>
      </c>
      <c r="B14" s="49" t="n">
        <v>25</v>
      </c>
    </row>
    <row r="15" customFormat="false" ht="21.75" hidden="false" customHeight="true" outlineLevel="0" collapsed="false">
      <c r="A15" s="50" t="s">
        <v>382</v>
      </c>
      <c r="B15" s="52" t="n">
        <f aca="false">IF(B14&gt;0,B13/B14,0)</f>
        <v>1.16</v>
      </c>
    </row>
    <row r="16" customFormat="false" ht="21.75" hidden="false" customHeight="true" outlineLevel="0" collapsed="false">
      <c r="A16" s="48" t="s">
        <v>383</v>
      </c>
      <c r="B16" s="49" t="str">
        <f aca="false">IF(B15&gt;0.7,"RED — Above limit",IF(B15&gt;0.5,"AMBER — Monitor","GREEN — Optimal"))</f>
        <v>RED — Above limit</v>
      </c>
    </row>
    <row r="17" customFormat="false" ht="21.75" hidden="false" customHeight="true" outlineLevel="0" collapsed="false">
      <c r="A17" s="50" t="s">
        <v>384</v>
      </c>
      <c r="B17" s="51" t="n">
        <f aca="false">COUNTIF(K5:K9,"Planning")+COUNTIF(K5:K9,"Qualification")</f>
        <v>1</v>
      </c>
    </row>
  </sheetData>
  <autoFilter ref="A4:N10"/>
  <mergeCells count="4">
    <mergeCell ref="A1:N1"/>
    <mergeCell ref="A2:N2"/>
    <mergeCell ref="A3:N3"/>
    <mergeCell ref="A11:D11"/>
  </mergeCells>
  <dataValidations count="2">
    <dataValidation allowBlank="true" errorStyle="stop" operator="between" showDropDown="false" showErrorMessage="false" showInputMessage="false" sqref="K5:K9" type="list">
      <formula1>"Planning,Qualification,Architecture Approval,Build,Stabilisation,Active — monitoring,Change Cycle,Incident Response,Decommissioned"</formula1>
      <formula2>0</formula2>
    </dataValidation>
    <dataValidation allowBlank="true" errorStyle="stop" operator="between" showDropDown="false" showErrorMessage="false" showInputMessage="false" sqref="D5:D9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31.5" hidden="false" customHeight="true" outlineLevel="0" collapsed="false">
      <c r="A1" s="17" t="s">
        <v>385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8" hidden="false" customHeight="true" outlineLevel="0" collapsed="false">
      <c r="A2" s="18" t="s">
        <v>386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36" hidden="false" customHeight="true" outlineLevel="0" collapsed="false">
      <c r="A3" s="4" t="s">
        <v>387</v>
      </c>
      <c r="B3" s="4" t="s">
        <v>388</v>
      </c>
      <c r="C3" s="4" t="s">
        <v>347</v>
      </c>
      <c r="D3" s="4" t="s">
        <v>389</v>
      </c>
      <c r="E3" s="4" t="s">
        <v>390</v>
      </c>
      <c r="F3" s="4" t="s">
        <v>391</v>
      </c>
      <c r="G3" s="4" t="s">
        <v>392</v>
      </c>
      <c r="H3" s="4" t="s">
        <v>393</v>
      </c>
      <c r="I3" s="4" t="s">
        <v>394</v>
      </c>
      <c r="J3" s="4" t="s">
        <v>395</v>
      </c>
      <c r="K3" s="4" t="s">
        <v>396</v>
      </c>
      <c r="L3" s="4" t="s">
        <v>397</v>
      </c>
      <c r="M3" s="4" t="s">
        <v>148</v>
      </c>
    </row>
    <row r="4" customFormat="false" ht="60" hidden="false" customHeight="true" outlineLevel="0" collapsed="false">
      <c r="A4" s="5" t="s">
        <v>398</v>
      </c>
      <c r="B4" s="7" t="s">
        <v>399</v>
      </c>
      <c r="C4" s="7" t="s">
        <v>360</v>
      </c>
      <c r="D4" s="7" t="s">
        <v>400</v>
      </c>
      <c r="E4" s="5" t="s">
        <v>401</v>
      </c>
      <c r="F4" s="5" t="s">
        <v>402</v>
      </c>
      <c r="G4" s="20" t="s">
        <v>403</v>
      </c>
      <c r="H4" s="7" t="s">
        <v>404</v>
      </c>
      <c r="I4" s="7" t="s">
        <v>405</v>
      </c>
      <c r="J4" s="5" t="s">
        <v>406</v>
      </c>
      <c r="K4" s="5" t="s">
        <v>407</v>
      </c>
      <c r="L4" s="5" t="s">
        <v>408</v>
      </c>
      <c r="M4" s="7"/>
    </row>
    <row r="5" customFormat="false" ht="60" hidden="false" customHeight="true" outlineLevel="0" collapsed="false">
      <c r="A5" s="8" t="s">
        <v>409</v>
      </c>
      <c r="B5" s="10" t="s">
        <v>410</v>
      </c>
      <c r="C5" s="10" t="s">
        <v>360</v>
      </c>
      <c r="D5" s="10" t="s">
        <v>411</v>
      </c>
      <c r="E5" s="8" t="s">
        <v>412</v>
      </c>
      <c r="F5" s="8" t="s">
        <v>413</v>
      </c>
      <c r="G5" s="19" t="s">
        <v>414</v>
      </c>
      <c r="H5" s="10" t="s">
        <v>415</v>
      </c>
      <c r="I5" s="10" t="s">
        <v>416</v>
      </c>
      <c r="J5" s="8" t="s">
        <v>406</v>
      </c>
      <c r="K5" s="8" t="s">
        <v>417</v>
      </c>
      <c r="L5" s="8"/>
      <c r="M5" s="10" t="s">
        <v>418</v>
      </c>
    </row>
    <row r="6" customFormat="false" ht="60" hidden="false" customHeight="true" outlineLevel="0" collapsed="false">
      <c r="A6" s="5" t="s">
        <v>419</v>
      </c>
      <c r="B6" s="7" t="s">
        <v>420</v>
      </c>
      <c r="C6" s="7" t="s">
        <v>367</v>
      </c>
      <c r="D6" s="7" t="s">
        <v>421</v>
      </c>
      <c r="E6" s="5" t="s">
        <v>422</v>
      </c>
      <c r="F6" s="5" t="s">
        <v>423</v>
      </c>
      <c r="G6" s="53" t="s">
        <v>424</v>
      </c>
      <c r="H6" s="7" t="s">
        <v>425</v>
      </c>
      <c r="I6" s="7" t="s">
        <v>426</v>
      </c>
      <c r="J6" s="5" t="s">
        <v>406</v>
      </c>
      <c r="K6" s="5" t="s">
        <v>427</v>
      </c>
      <c r="L6" s="5" t="s">
        <v>428</v>
      </c>
      <c r="M6" s="7"/>
    </row>
    <row r="7" customFormat="false" ht="49.5" hidden="false" customHeight="true" outlineLevel="0" collapsed="false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8" customFormat="false" ht="49.5" hidden="false" customHeight="true" outlineLevel="0" collapsed="false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customFormat="false" ht="49.5" hidden="false" customHeight="true" outlineLevel="0" collapsed="false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</row>
    <row r="10" customFormat="false" ht="49.5" hidden="false" customHeight="true" outlineLevel="0" collapsed="false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customFormat="false" ht="49.5" hidden="false" customHeight="true" outlineLevel="0" collapsed="false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customFormat="false" ht="49.5" hidden="false" customHeight="true" outlineLevel="0" collapsed="false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customFormat="false" ht="49.5" hidden="false" customHeight="true" outlineLevel="0" collapsed="false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</sheetData>
  <autoFilter ref="A3:M13"/>
  <mergeCells count="2">
    <mergeCell ref="A1:M1"/>
    <mergeCell ref="A2:M2"/>
  </mergeCells>
  <dataValidations count="1">
    <dataValidation allowBlank="true" errorStyle="stop" operator="between" showDropDown="false" showErrorMessage="false" showInputMessage="false" sqref="G4:G13" type="list">
      <formula1>"Approved,Approved with Conditions,Redirected to Formula/RPA,Queued — Capacity,Not Approved — Governance Gap,Not Approved — Wrong Tool,Pending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2026-06-08T14:38:08Z</dcterms:created>
  <dc:creator>openpyxl</dc:creator>
  <dc:description/>
  <dc:language>en-US</dc:language>
  <cp:lastModifiedBy/>
  <dcterms:modified xsi:type="dcterms:W3CDTF">2026-06-08T14:38:08Z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